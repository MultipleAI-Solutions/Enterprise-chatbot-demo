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llidascope-my.sharepoint.com/personal/ceo_collidascope_com_au/Documents/Downloads 1D/"/>
    </mc:Choice>
  </mc:AlternateContent>
  <xr:revisionPtr revIDLastSave="199" documentId="13_ncr:1_{EF3FF3BF-E85E-415F-BF91-B281C0A62ACD}" xr6:coauthVersionLast="47" xr6:coauthVersionMax="47" xr10:uidLastSave="{440504D5-7C03-4920-B2F2-CBFF4B5D14DD}"/>
  <bookViews>
    <workbookView xWindow="390" yWindow="390" windowWidth="57600" windowHeight="15345" xr2:uid="{00000000-000D-0000-FFFF-FFFF00000000}"/>
  </bookViews>
  <sheets>
    <sheet name="Xero -EmployeeUpload" sheetId="15" r:id="rId1"/>
    <sheet name="Employee Master" sheetId="1" r:id="rId2"/>
    <sheet name="Leave Tracker" sheetId="2" r:id="rId3"/>
    <sheet name="Remuneration" sheetId="3" r:id="rId4"/>
    <sheet name="Position Details" sheetId="4" r:id="rId5"/>
    <sheet name="Organisation Structure" sheetId="5" r:id="rId6"/>
    <sheet name="Performance" sheetId="6" r:id="rId7"/>
    <sheet name="Succession Planning" sheetId="7" r:id="rId8"/>
    <sheet name="Engagement &amp; Retention" sheetId="8" r:id="rId9"/>
    <sheet name="Risk &amp; Compliance" sheetId="9" r:id="rId10"/>
    <sheet name="Diversity &amp; Inclusion" sheetId="10" r:id="rId11"/>
    <sheet name="Recruitment" sheetId="11" r:id="rId12"/>
    <sheet name="Advanced Analytics" sheetId="12" r:id="rId13"/>
    <sheet name="External Factors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" i="7"/>
  <c r="K3" i="5"/>
  <c r="E3" i="6" s="1"/>
  <c r="K4" i="5"/>
  <c r="E4" i="6" s="1"/>
  <c r="K5" i="5"/>
  <c r="E5" i="6" s="1"/>
  <c r="K6" i="5"/>
  <c r="E6" i="6" s="1"/>
  <c r="K7" i="5"/>
  <c r="E7" i="6" s="1"/>
  <c r="K8" i="5"/>
  <c r="E8" i="6" s="1"/>
  <c r="K9" i="5"/>
  <c r="E9" i="6" s="1"/>
  <c r="K10" i="5"/>
  <c r="E10" i="6" s="1"/>
  <c r="K11" i="5"/>
  <c r="E11" i="6" s="1"/>
  <c r="K12" i="5"/>
  <c r="E12" i="6" s="1"/>
  <c r="K13" i="5"/>
  <c r="E13" i="6" s="1"/>
  <c r="K14" i="5"/>
  <c r="E14" i="6" s="1"/>
  <c r="K15" i="5"/>
  <c r="E15" i="6" s="1"/>
  <c r="K16" i="5"/>
  <c r="E16" i="6" s="1"/>
  <c r="K17" i="5"/>
  <c r="E17" i="6" s="1"/>
  <c r="K18" i="5"/>
  <c r="E18" i="6" s="1"/>
  <c r="K19" i="5"/>
  <c r="E19" i="6" s="1"/>
  <c r="K20" i="5"/>
  <c r="E20" i="6" s="1"/>
  <c r="K21" i="5"/>
  <c r="E21" i="6" s="1"/>
  <c r="K2" i="5"/>
  <c r="E2" i="6" s="1"/>
  <c r="M9" i="3"/>
  <c r="M10" i="3"/>
  <c r="M11" i="3"/>
  <c r="M12" i="3"/>
  <c r="M13" i="3"/>
  <c r="M14" i="3"/>
  <c r="N14" i="3" s="1"/>
  <c r="M15" i="3"/>
  <c r="N15" i="3" s="1"/>
  <c r="M16" i="3"/>
  <c r="N16" i="3" s="1"/>
  <c r="M8" i="3"/>
  <c r="N8" i="3" s="1"/>
  <c r="G8" i="3"/>
  <c r="G9" i="3"/>
  <c r="G10" i="3"/>
  <c r="N9" i="3"/>
  <c r="N11" i="3"/>
  <c r="N12" i="3"/>
  <c r="N13" i="3"/>
  <c r="N3" i="3"/>
  <c r="N4" i="3"/>
  <c r="N5" i="3"/>
  <c r="N6" i="3"/>
  <c r="N7" i="3"/>
  <c r="N10" i="3"/>
  <c r="N17" i="3"/>
  <c r="N18" i="3"/>
  <c r="N19" i="3"/>
  <c r="N20" i="3"/>
  <c r="N21" i="3"/>
  <c r="N2" i="3"/>
</calcChain>
</file>

<file path=xl/sharedStrings.xml><?xml version="1.0" encoding="utf-8"?>
<sst xmlns="http://schemas.openxmlformats.org/spreadsheetml/2006/main" count="1833" uniqueCount="428">
  <si>
    <t>Employee ID</t>
  </si>
  <si>
    <t>Full Name</t>
  </si>
  <si>
    <t>Date of Birth</t>
  </si>
  <si>
    <t>Gender</t>
  </si>
  <si>
    <t>Contact Details</t>
  </si>
  <si>
    <t>Address</t>
  </si>
  <si>
    <t>Emergency Contact</t>
  </si>
  <si>
    <t>Employment Status</t>
  </si>
  <si>
    <t>Hire Date</t>
  </si>
  <si>
    <t>Termination Date</t>
  </si>
  <si>
    <t>Job Title</t>
  </si>
  <si>
    <t>Department</t>
  </si>
  <si>
    <t>Office Location</t>
  </si>
  <si>
    <t>Region/State</t>
  </si>
  <si>
    <t>Country</t>
  </si>
  <si>
    <t>Manager</t>
  </si>
  <si>
    <t>Award/Agreement</t>
  </si>
  <si>
    <t>Employment Type</t>
  </si>
  <si>
    <t>E001</t>
  </si>
  <si>
    <t>Male</t>
  </si>
  <si>
    <t>0400941930</t>
  </si>
  <si>
    <t>Active</t>
  </si>
  <si>
    <t>CEO</t>
  </si>
  <si>
    <t>Executive</t>
  </si>
  <si>
    <t>Subiaco Office</t>
  </si>
  <si>
    <t>WA</t>
  </si>
  <si>
    <t>Australia</t>
  </si>
  <si>
    <t>Manager TBD</t>
  </si>
  <si>
    <t>Clerks Award</t>
  </si>
  <si>
    <t>Full-time</t>
  </si>
  <si>
    <t>E002</t>
  </si>
  <si>
    <t>Female</t>
  </si>
  <si>
    <t>0400108139</t>
  </si>
  <si>
    <t>Executive Assistant</t>
  </si>
  <si>
    <t>E003</t>
  </si>
  <si>
    <t>0400962841</t>
  </si>
  <si>
    <t>Chief Financial Officer</t>
  </si>
  <si>
    <t>Finance</t>
  </si>
  <si>
    <t>E004</t>
  </si>
  <si>
    <t>0400270026</t>
  </si>
  <si>
    <t>Accounts Receivable</t>
  </si>
  <si>
    <t>E005</t>
  </si>
  <si>
    <t>0400925891</t>
  </si>
  <si>
    <t>Accounts Payable</t>
  </si>
  <si>
    <t>E006</t>
  </si>
  <si>
    <t>0400677756</t>
  </si>
  <si>
    <t>Payroll Officer</t>
  </si>
  <si>
    <t>E007</t>
  </si>
  <si>
    <t>0400891766</t>
  </si>
  <si>
    <t>Sales Manager</t>
  </si>
  <si>
    <t>Sales</t>
  </si>
  <si>
    <t>E008</t>
  </si>
  <si>
    <t>0400932160</t>
  </si>
  <si>
    <t>Sales Team Leader</t>
  </si>
  <si>
    <t>E009</t>
  </si>
  <si>
    <t>0400659788</t>
  </si>
  <si>
    <t>E010</t>
  </si>
  <si>
    <t>0400748241</t>
  </si>
  <si>
    <t>Sales Rep</t>
  </si>
  <si>
    <t>E011</t>
  </si>
  <si>
    <t>0400342606</t>
  </si>
  <si>
    <t>E012</t>
  </si>
  <si>
    <t>0400531042</t>
  </si>
  <si>
    <t>E013</t>
  </si>
  <si>
    <t>0400502332</t>
  </si>
  <si>
    <t>E014</t>
  </si>
  <si>
    <t>0400467328</t>
  </si>
  <si>
    <t>E015</t>
  </si>
  <si>
    <t>0400966932</t>
  </si>
  <si>
    <t>E016</t>
  </si>
  <si>
    <t>0400380479</t>
  </si>
  <si>
    <t>Operations Manager</t>
  </si>
  <si>
    <t>Operations</t>
  </si>
  <si>
    <t>E017</t>
  </si>
  <si>
    <t>0400181299</t>
  </si>
  <si>
    <t>Operations Staff</t>
  </si>
  <si>
    <t>E018</t>
  </si>
  <si>
    <t>0400282148</t>
  </si>
  <si>
    <t>E019</t>
  </si>
  <si>
    <t>0400498169</t>
  </si>
  <si>
    <t>E020</t>
  </si>
  <si>
    <t>0400706959</t>
  </si>
  <si>
    <t>Leave Type</t>
  </si>
  <si>
    <t>Leave Taken Start</t>
  </si>
  <si>
    <t>Leave Taken End</t>
  </si>
  <si>
    <t>Leave Accrual Rate</t>
  </si>
  <si>
    <t>Notes</t>
  </si>
  <si>
    <t>Annual Leave</t>
  </si>
  <si>
    <t>1.5 days/month</t>
  </si>
  <si>
    <t>Base Salary</t>
  </si>
  <si>
    <t>Award/Classification Level</t>
  </si>
  <si>
    <t>Allowances</t>
  </si>
  <si>
    <t>Overtime Rate</t>
  </si>
  <si>
    <t>Superannuation %</t>
  </si>
  <si>
    <t>Bonus Eligibility</t>
  </si>
  <si>
    <t>Pay Cycle</t>
  </si>
  <si>
    <t>Total Package Value</t>
  </si>
  <si>
    <t>1.5x</t>
  </si>
  <si>
    <t>Yes</t>
  </si>
  <si>
    <t>Monthly</t>
  </si>
  <si>
    <t>No</t>
  </si>
  <si>
    <t>Position Title</t>
  </si>
  <si>
    <t>Skills Required</t>
  </si>
  <si>
    <t>Qualifications</t>
  </si>
  <si>
    <t>Qualification Date</t>
  </si>
  <si>
    <t>Expiry Date</t>
  </si>
  <si>
    <t>Licenses/Permits</t>
  </si>
  <si>
    <t>Competency Status</t>
  </si>
  <si>
    <t>Cert IV HR</t>
  </si>
  <si>
    <t>Driver License</t>
  </si>
  <si>
    <t>Position Level</t>
  </si>
  <si>
    <t>Manager ID</t>
  </si>
  <si>
    <t>Manager Name</t>
  </si>
  <si>
    <t>Department / Function</t>
  </si>
  <si>
    <t>Time in Role</t>
  </si>
  <si>
    <t>Direct Reports</t>
  </si>
  <si>
    <t>Review Date</t>
  </si>
  <si>
    <t>Performance Rating</t>
  </si>
  <si>
    <t>Potential Rating</t>
  </si>
  <si>
    <t>Goals/Objectives</t>
  </si>
  <si>
    <t>Achievement Status</t>
  </si>
  <si>
    <t>Development Plan Status</t>
  </si>
  <si>
    <t>Last Promotion Date</t>
  </si>
  <si>
    <t>Next Review Date</t>
  </si>
  <si>
    <t>Medium</t>
  </si>
  <si>
    <t>Sales Growth</t>
  </si>
  <si>
    <t>98%</t>
  </si>
  <si>
    <t>79%</t>
  </si>
  <si>
    <t>86%</t>
  </si>
  <si>
    <t>High</t>
  </si>
  <si>
    <t>92%</t>
  </si>
  <si>
    <t>100%</t>
  </si>
  <si>
    <t>Low</t>
  </si>
  <si>
    <t>58%</t>
  </si>
  <si>
    <t>76%</t>
  </si>
  <si>
    <t>75%</t>
  </si>
  <si>
    <t>52%</t>
  </si>
  <si>
    <t>61%</t>
  </si>
  <si>
    <t>84%</t>
  </si>
  <si>
    <t>56%</t>
  </si>
  <si>
    <t>91%</t>
  </si>
  <si>
    <t>74%</t>
  </si>
  <si>
    <t>96%</t>
  </si>
  <si>
    <t>94%</t>
  </si>
  <si>
    <t>Current Position</t>
  </si>
  <si>
    <t>Future Roles</t>
  </si>
  <si>
    <t>Ready Now Roles</t>
  </si>
  <si>
    <t>Likely Backfill Candidate</t>
  </si>
  <si>
    <t>Development Needs</t>
  </si>
  <si>
    <t>Target Readiness Date</t>
  </si>
  <si>
    <t>Leadership Training</t>
  </si>
  <si>
    <t>Engagement Score</t>
  </si>
  <si>
    <t>Turnover Risk Score</t>
  </si>
  <si>
    <t>Absenteeism Rate</t>
  </si>
  <si>
    <t>Regrettable Loss Indicator</t>
  </si>
  <si>
    <t>7%</t>
  </si>
  <si>
    <t>4%</t>
  </si>
  <si>
    <t>5%</t>
  </si>
  <si>
    <t>2%</t>
  </si>
  <si>
    <t>8%</t>
  </si>
  <si>
    <t>10%</t>
  </si>
  <si>
    <t>6%</t>
  </si>
  <si>
    <t>3%</t>
  </si>
  <si>
    <t>1%</t>
  </si>
  <si>
    <t>Compliance Training Completion %</t>
  </si>
  <si>
    <t>WHS Incident Involvement</t>
  </si>
  <si>
    <t>Incident Type</t>
  </si>
  <si>
    <t>Date</t>
  </si>
  <si>
    <t>Severity</t>
  </si>
  <si>
    <t>Time Lost</t>
  </si>
  <si>
    <t>Near Miss Count</t>
  </si>
  <si>
    <t>Injury Type</t>
  </si>
  <si>
    <t>Lost Time Injury Indicator</t>
  </si>
  <si>
    <t>Policy Breach Flag</t>
  </si>
  <si>
    <t>None</t>
  </si>
  <si>
    <t>Age Group</t>
  </si>
  <si>
    <t>Aboriginal/Torres Strait Islander Status</t>
  </si>
  <si>
    <t>CALD Background</t>
  </si>
  <si>
    <t>Disability Status</t>
  </si>
  <si>
    <t>LGBTQ+ Indicator</t>
  </si>
  <si>
    <t>Veteran Status</t>
  </si>
  <si>
    <t>Flexible Work Arrangement</t>
  </si>
  <si>
    <t>51+</t>
  </si>
  <si>
    <t>31-40</t>
  </si>
  <si>
    <t>41-50</t>
  </si>
  <si>
    <t>20-30</t>
  </si>
  <si>
    <t>Vacancy ID</t>
  </si>
  <si>
    <t>Source of Candidate</t>
  </si>
  <si>
    <t>Time to Fill</t>
  </si>
  <si>
    <t>Number of Vacancies</t>
  </si>
  <si>
    <t>Candidate Pipeline Stage</t>
  </si>
  <si>
    <t>Assessment Results</t>
  </si>
  <si>
    <t>V001</t>
  </si>
  <si>
    <t>Agency</t>
  </si>
  <si>
    <t>Applied</t>
  </si>
  <si>
    <t>Score: 85%</t>
  </si>
  <si>
    <t>V002</t>
  </si>
  <si>
    <t>Referral</t>
  </si>
  <si>
    <t>Interviewed</t>
  </si>
  <si>
    <t>V003</t>
  </si>
  <si>
    <t>Job Board</t>
  </si>
  <si>
    <t>V004</t>
  </si>
  <si>
    <t>V005</t>
  </si>
  <si>
    <t>Hired</t>
  </si>
  <si>
    <t>Cost-to-Company</t>
  </si>
  <si>
    <t>Training Investment</t>
  </si>
  <si>
    <t>Productivity Index</t>
  </si>
  <si>
    <t>Attrition Probability</t>
  </si>
  <si>
    <t>Flight Risk Score</t>
  </si>
  <si>
    <t>Engagement Trend</t>
  </si>
  <si>
    <t>Promotion Velocity</t>
  </si>
  <si>
    <t>Critical Role Indicator</t>
  </si>
  <si>
    <t>Declining</t>
  </si>
  <si>
    <t>14%</t>
  </si>
  <si>
    <t>Stable</t>
  </si>
  <si>
    <t>25%</t>
  </si>
  <si>
    <t>11%</t>
  </si>
  <si>
    <t>22%</t>
  </si>
  <si>
    <t>Improving</t>
  </si>
  <si>
    <t>27%</t>
  </si>
  <si>
    <t>30%</t>
  </si>
  <si>
    <t>9%</t>
  </si>
  <si>
    <t>13%</t>
  </si>
  <si>
    <t>21%</t>
  </si>
  <si>
    <t>16%</t>
  </si>
  <si>
    <t>28%</t>
  </si>
  <si>
    <t>17%</t>
  </si>
  <si>
    <t>CPI</t>
  </si>
  <si>
    <t>Unemployment Rate</t>
  </si>
  <si>
    <t>Industry Turnover Rate</t>
  </si>
  <si>
    <t>Market Salary Benchmark</t>
  </si>
  <si>
    <t>Economic Confidence Index</t>
  </si>
  <si>
    <t>Job Vacancy Index</t>
  </si>
  <si>
    <t>M1</t>
  </si>
  <si>
    <t>O1</t>
  </si>
  <si>
    <t>O3</t>
  </si>
  <si>
    <t>S5</t>
  </si>
  <si>
    <t>S1</t>
  </si>
  <si>
    <t>S3</t>
  </si>
  <si>
    <t>F2</t>
  </si>
  <si>
    <t>M3</t>
  </si>
  <si>
    <t>C1</t>
  </si>
  <si>
    <t>Joondalup Office</t>
  </si>
  <si>
    <t>Cert III HR</t>
  </si>
  <si>
    <t xml:space="preserve">Position Level </t>
  </si>
  <si>
    <t>Leave Balance (Days)</t>
  </si>
  <si>
    <t>Days Requested</t>
  </si>
  <si>
    <t>Days Approved</t>
  </si>
  <si>
    <t xml:space="preserve">Sophia Bennett </t>
  </si>
  <si>
    <t xml:space="preserve">Rajesh Patel </t>
  </si>
  <si>
    <t xml:space="preserve">Ethan Brooks </t>
  </si>
  <si>
    <t>Liam Parker</t>
  </si>
  <si>
    <t>Lucas Reed</t>
  </si>
  <si>
    <t>Henry Davis</t>
  </si>
  <si>
    <t>Noah Turner</t>
  </si>
  <si>
    <t>Chantel Dubois</t>
  </si>
  <si>
    <t>Ella Morgan</t>
  </si>
  <si>
    <t>Matteo Bianchi</t>
  </si>
  <si>
    <t>Zainab Yusuf</t>
  </si>
  <si>
    <t>James Cooper</t>
  </si>
  <si>
    <t>Emily Scott</t>
  </si>
  <si>
    <t>Diego Morales</t>
  </si>
  <si>
    <t>Roland Jones</t>
  </si>
  <si>
    <t>Joseph King</t>
  </si>
  <si>
    <t>Thomas Murray</t>
  </si>
  <si>
    <t>Mei Lin  Cheong</t>
  </si>
  <si>
    <t>Salary</t>
  </si>
  <si>
    <t>Commission</t>
  </si>
  <si>
    <t>Commission %</t>
  </si>
  <si>
    <t>Commission $</t>
  </si>
  <si>
    <t>Commision Earned</t>
  </si>
  <si>
    <t>MS 365 Suite</t>
  </si>
  <si>
    <t>Xero</t>
  </si>
  <si>
    <t>Reckon</t>
  </si>
  <si>
    <t>Bamboo</t>
  </si>
  <si>
    <t>ERP</t>
  </si>
  <si>
    <t>Forklift</t>
  </si>
  <si>
    <t>Driver License - Truck</t>
  </si>
  <si>
    <t>Date Appointed</t>
  </si>
  <si>
    <t>Time in Role (YY/MM)</t>
  </si>
  <si>
    <t>NPS</t>
  </si>
  <si>
    <t>CFO</t>
  </si>
  <si>
    <t>HRO</t>
  </si>
  <si>
    <t>Ready 1-2 Yrs</t>
  </si>
  <si>
    <t>Termination Reason</t>
  </si>
  <si>
    <t>Fred Payrits</t>
  </si>
  <si>
    <t>Hiring ManagerID</t>
  </si>
  <si>
    <t>Award Free</t>
  </si>
  <si>
    <t>General Retail Award</t>
  </si>
  <si>
    <t>Manufacturing Award</t>
  </si>
  <si>
    <t>Suburb</t>
  </si>
  <si>
    <t>PostCode</t>
  </si>
  <si>
    <t>First Name</t>
  </si>
  <si>
    <t>Family Name</t>
  </si>
  <si>
    <t>Cheong</t>
  </si>
  <si>
    <t>Bennett</t>
  </si>
  <si>
    <t>Patel</t>
  </si>
  <si>
    <t>Brooks</t>
  </si>
  <si>
    <t>Parker</t>
  </si>
  <si>
    <t>Payrits</t>
  </si>
  <si>
    <t>Reed</t>
  </si>
  <si>
    <t>Davis</t>
  </si>
  <si>
    <t>Turner</t>
  </si>
  <si>
    <t>Dubois</t>
  </si>
  <si>
    <t>Morgan</t>
  </si>
  <si>
    <t>Bianchi</t>
  </si>
  <si>
    <t>Yusuf</t>
  </si>
  <si>
    <t>Park</t>
  </si>
  <si>
    <t>Cooper</t>
  </si>
  <si>
    <t>Murray</t>
  </si>
  <si>
    <t>King</t>
  </si>
  <si>
    <t>Jones</t>
  </si>
  <si>
    <t>Morales</t>
  </si>
  <si>
    <t>Scott</t>
  </si>
  <si>
    <t>Mei Lin</t>
  </si>
  <si>
    <t>Sophia</t>
  </si>
  <si>
    <t>Rajesh</t>
  </si>
  <si>
    <t>Ethan</t>
  </si>
  <si>
    <t>Liam</t>
  </si>
  <si>
    <t>Fred</t>
  </si>
  <si>
    <t>Lucas</t>
  </si>
  <si>
    <t>Henry</t>
  </si>
  <si>
    <t>Noah</t>
  </si>
  <si>
    <t>Chantel</t>
  </si>
  <si>
    <t>Ella</t>
  </si>
  <si>
    <t>Matteo</t>
  </si>
  <si>
    <t>Zainab</t>
  </si>
  <si>
    <t>Hana Kim</t>
  </si>
  <si>
    <t>James</t>
  </si>
  <si>
    <t>Thomas</t>
  </si>
  <si>
    <t>Joseph</t>
  </si>
  <si>
    <t>Roland</t>
  </si>
  <si>
    <t>Diego</t>
  </si>
  <si>
    <t>Emily</t>
  </si>
  <si>
    <t>Cheong Mei Lin</t>
  </si>
  <si>
    <t>Park Hana Kim</t>
  </si>
  <si>
    <t>Nedlands</t>
  </si>
  <si>
    <t>Subiaco</t>
  </si>
  <si>
    <t>Crawley</t>
  </si>
  <si>
    <t>Daglish</t>
  </si>
  <si>
    <t>Innaloo</t>
  </si>
  <si>
    <t>Joondalup</t>
  </si>
  <si>
    <t>Balga</t>
  </si>
  <si>
    <t>Hillarys</t>
  </si>
  <si>
    <t>Yanchep</t>
  </si>
  <si>
    <t>Claremont</t>
  </si>
  <si>
    <t>West Perth</t>
  </si>
  <si>
    <t>Leederville</t>
  </si>
  <si>
    <t>Morley</t>
  </si>
  <si>
    <t>Bayswater</t>
  </si>
  <si>
    <t>Woodvale</t>
  </si>
  <si>
    <t>Carine</t>
  </si>
  <si>
    <t>33 West St</t>
  </si>
  <si>
    <t>30 Cable St</t>
  </si>
  <si>
    <t>28 Dwyer St</t>
  </si>
  <si>
    <t>1 Brigid St</t>
  </si>
  <si>
    <t>89 Foam St</t>
  </si>
  <si>
    <t>46 Russell St</t>
  </si>
  <si>
    <t>75 Maple St</t>
  </si>
  <si>
    <t>13 Green St</t>
  </si>
  <si>
    <t>78 Elm St</t>
  </si>
  <si>
    <t>75 Ship St</t>
  </si>
  <si>
    <t>64 Viper St</t>
  </si>
  <si>
    <t>24 Finch St</t>
  </si>
  <si>
    <t>8 Palmer St</t>
  </si>
  <si>
    <t>34 Glassford St</t>
  </si>
  <si>
    <t>95 Bershire St</t>
  </si>
  <si>
    <t>36 James St</t>
  </si>
  <si>
    <t>24 Delhi St</t>
  </si>
  <si>
    <t>57 Victoria St</t>
  </si>
  <si>
    <t>92 Summer St</t>
  </si>
  <si>
    <t>79 Player St</t>
  </si>
  <si>
    <t>Wanneroo</t>
  </si>
  <si>
    <t>Classification</t>
  </si>
  <si>
    <t>Phone Number</t>
  </si>
  <si>
    <t>Postcode</t>
  </si>
  <si>
    <t>State</t>
  </si>
  <si>
    <t>Address Line 2</t>
  </si>
  <si>
    <t>Address Line 1</t>
  </si>
  <si>
    <t>Start Date</t>
  </si>
  <si>
    <t>Email</t>
  </si>
  <si>
    <t>Last Name</t>
  </si>
  <si>
    <t>Middle Name</t>
  </si>
  <si>
    <t>Title</t>
  </si>
  <si>
    <t>2018/07/28</t>
  </si>
  <si>
    <t>1993/12/03</t>
  </si>
  <si>
    <t>2018/09/08</t>
  </si>
  <si>
    <t>1979/07/18</t>
  </si>
  <si>
    <t>2021/05/24</t>
  </si>
  <si>
    <t>1994/03/29</t>
  </si>
  <si>
    <t>2019/07/05</t>
  </si>
  <si>
    <t>1978/12/21</t>
  </si>
  <si>
    <t>2019/12/09</t>
  </si>
  <si>
    <t>1979/01/01</t>
  </si>
  <si>
    <t>2020/10/09</t>
  </si>
  <si>
    <t>1971/12/19</t>
  </si>
  <si>
    <t>2018/05/23</t>
  </si>
  <si>
    <t>1990/01/24</t>
  </si>
  <si>
    <t>2020/12/10</t>
  </si>
  <si>
    <t>1994/05/01</t>
  </si>
  <si>
    <t>2019/05/28</t>
  </si>
  <si>
    <t>1970/11/19</t>
  </si>
  <si>
    <t>2022/06/15</t>
  </si>
  <si>
    <t>1983/10/11</t>
  </si>
  <si>
    <t>2020/07/26</t>
  </si>
  <si>
    <t>1982/07/27</t>
  </si>
  <si>
    <t>2021/07/18</t>
  </si>
  <si>
    <t>1979/02/25</t>
  </si>
  <si>
    <t>2022/10/01</t>
  </si>
  <si>
    <t>1973/09/15</t>
  </si>
  <si>
    <t>2018/01/26</t>
  </si>
  <si>
    <t>1976/04/11</t>
  </si>
  <si>
    <t>2021/11/14</t>
  </si>
  <si>
    <t>1972/02/28</t>
  </si>
  <si>
    <t>2022/09/19</t>
  </si>
  <si>
    <t>1991/03/02</t>
  </si>
  <si>
    <t>2020/03/25</t>
  </si>
  <si>
    <t>1993/03/09</t>
  </si>
  <si>
    <t>2022/12/17</t>
  </si>
  <si>
    <t>1993/03/30</t>
  </si>
  <si>
    <t>2019/04/01</t>
  </si>
  <si>
    <t>1995/10/12</t>
  </si>
  <si>
    <t>2019/06/04</t>
  </si>
  <si>
    <t>1990/12/31</t>
  </si>
  <si>
    <t>Ms</t>
  </si>
  <si>
    <t>Mr</t>
  </si>
  <si>
    <t>Mx</t>
  </si>
  <si>
    <t>Mrs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</si>
</sst>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yyyy\-mm\-dd"/>
    <numFmt numFmtId="165" formatCode="yy/m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44" fontId="0" fillId="0" borderId="0" xfId="1" applyFont="1"/>
    <xf numFmtId="9" fontId="0" fillId="0" borderId="0" xfId="0" applyNumberFormat="1"/>
    <xf numFmtId="165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8044C-FF93-437F-A216-7507B053FD52}">
  <dimension ref="A1:P21"/>
  <sheetViews>
    <sheetView tabSelected="1" topLeftCell="E1" workbookViewId="0">
      <selection activeCell="O1" sqref="O1:O1048576"/>
    </sheetView>
  </sheetViews>
  <sheetFormatPr defaultRowHeight="15" x14ac:dyDescent="0.25"/>
  <cols>
    <col min="2" max="2" width="10.5703125" bestFit="1" customWidth="1"/>
    <col min="3" max="3" width="13.28515625" bestFit="1" customWidth="1"/>
    <col min="5" max="5" width="12.140625" bestFit="1" customWidth="1"/>
    <col min="6" max="6" width="7.7109375" bestFit="1" customWidth="1"/>
    <col min="7" max="7" width="20.85546875" bestFit="1" customWidth="1"/>
    <col min="8" max="8" width="5.85546875" bestFit="1" customWidth="1"/>
    <col min="9" max="9" width="10.7109375" bestFit="1" customWidth="1"/>
    <col min="10" max="10" width="14" bestFit="1" customWidth="1"/>
    <col min="15" max="15" width="14.5703125" bestFit="1" customWidth="1"/>
  </cols>
  <sheetData>
    <row r="1" spans="1:16" x14ac:dyDescent="0.25">
      <c r="A1" s="5" t="s">
        <v>383</v>
      </c>
      <c r="B1" s="5" t="s">
        <v>292</v>
      </c>
      <c r="C1" s="5" t="s">
        <v>382</v>
      </c>
      <c r="D1" s="5" t="s">
        <v>381</v>
      </c>
      <c r="E1" s="5" t="s">
        <v>2</v>
      </c>
      <c r="F1" s="5" t="s">
        <v>3</v>
      </c>
      <c r="G1" s="5" t="s">
        <v>10</v>
      </c>
      <c r="H1" s="5" t="s">
        <v>380</v>
      </c>
      <c r="I1" s="5" t="s">
        <v>379</v>
      </c>
      <c r="J1" s="5" t="s">
        <v>378</v>
      </c>
      <c r="K1" s="5" t="s">
        <v>377</v>
      </c>
      <c r="L1" s="5" t="s">
        <v>290</v>
      </c>
      <c r="M1" s="5" t="s">
        <v>376</v>
      </c>
      <c r="N1" s="5" t="s">
        <v>375</v>
      </c>
      <c r="O1" s="5" t="s">
        <v>374</v>
      </c>
      <c r="P1" s="5" t="s">
        <v>373</v>
      </c>
    </row>
    <row r="2" spans="1:16" x14ac:dyDescent="0.25">
      <c r="A2" t="s">
        <v>424</v>
      </c>
      <c r="B2" t="s">
        <v>314</v>
      </c>
      <c r="D2" t="s">
        <v>294</v>
      </c>
      <c r="E2" t="s">
        <v>423</v>
      </c>
      <c r="F2" t="s">
        <v>31</v>
      </c>
      <c r="G2" t="s">
        <v>22</v>
      </c>
      <c r="I2" t="s">
        <v>422</v>
      </c>
      <c r="J2" t="s">
        <v>352</v>
      </c>
      <c r="L2" t="s">
        <v>336</v>
      </c>
      <c r="M2" s="6" t="s">
        <v>25</v>
      </c>
      <c r="N2" s="6">
        <v>6009</v>
      </c>
      <c r="O2" t="s">
        <v>20</v>
      </c>
      <c r="P2" t="s">
        <v>287</v>
      </c>
    </row>
    <row r="3" spans="1:16" x14ac:dyDescent="0.25">
      <c r="A3" t="s">
        <v>424</v>
      </c>
      <c r="B3" t="s">
        <v>315</v>
      </c>
      <c r="D3" t="s">
        <v>295</v>
      </c>
      <c r="E3" t="s">
        <v>421</v>
      </c>
      <c r="F3" t="s">
        <v>31</v>
      </c>
      <c r="G3" t="s">
        <v>33</v>
      </c>
      <c r="I3" t="s">
        <v>420</v>
      </c>
      <c r="J3" t="s">
        <v>353</v>
      </c>
      <c r="L3" t="s">
        <v>337</v>
      </c>
      <c r="M3" s="6" t="s">
        <v>25</v>
      </c>
      <c r="N3" s="6">
        <v>6008</v>
      </c>
      <c r="O3" t="s">
        <v>32</v>
      </c>
      <c r="P3" t="s">
        <v>28</v>
      </c>
    </row>
    <row r="4" spans="1:16" x14ac:dyDescent="0.25">
      <c r="A4" t="s">
        <v>425</v>
      </c>
      <c r="B4" t="s">
        <v>316</v>
      </c>
      <c r="D4" t="s">
        <v>296</v>
      </c>
      <c r="E4" t="s">
        <v>419</v>
      </c>
      <c r="F4" t="s">
        <v>19</v>
      </c>
      <c r="G4" t="s">
        <v>36</v>
      </c>
      <c r="I4" t="s">
        <v>418</v>
      </c>
      <c r="J4" t="s">
        <v>354</v>
      </c>
      <c r="L4" t="s">
        <v>337</v>
      </c>
      <c r="M4" s="6" t="s">
        <v>25</v>
      </c>
      <c r="N4" s="6">
        <v>6008</v>
      </c>
      <c r="O4" t="s">
        <v>35</v>
      </c>
      <c r="P4" t="s">
        <v>28</v>
      </c>
    </row>
    <row r="5" spans="1:16" x14ac:dyDescent="0.25">
      <c r="A5" t="s">
        <v>425</v>
      </c>
      <c r="B5" t="s">
        <v>317</v>
      </c>
      <c r="D5" t="s">
        <v>297</v>
      </c>
      <c r="E5" t="s">
        <v>417</v>
      </c>
      <c r="F5" t="s">
        <v>19</v>
      </c>
      <c r="G5" t="s">
        <v>40</v>
      </c>
      <c r="I5" t="s">
        <v>416</v>
      </c>
      <c r="J5" t="s">
        <v>355</v>
      </c>
      <c r="L5" t="s">
        <v>338</v>
      </c>
      <c r="M5" s="6" t="s">
        <v>25</v>
      </c>
      <c r="N5" s="6">
        <v>6009</v>
      </c>
      <c r="O5" t="s">
        <v>39</v>
      </c>
      <c r="P5" t="s">
        <v>28</v>
      </c>
    </row>
    <row r="6" spans="1:16" x14ac:dyDescent="0.25">
      <c r="A6" t="s">
        <v>425</v>
      </c>
      <c r="B6" t="s">
        <v>318</v>
      </c>
      <c r="D6" t="s">
        <v>298</v>
      </c>
      <c r="E6" t="s">
        <v>415</v>
      </c>
      <c r="F6" t="s">
        <v>19</v>
      </c>
      <c r="G6" t="s">
        <v>43</v>
      </c>
      <c r="I6" t="s">
        <v>414</v>
      </c>
      <c r="J6" t="s">
        <v>356</v>
      </c>
      <c r="L6" t="s">
        <v>339</v>
      </c>
      <c r="M6" s="6" t="s">
        <v>25</v>
      </c>
      <c r="N6" s="6">
        <v>6008</v>
      </c>
      <c r="O6" t="s">
        <v>42</v>
      </c>
      <c r="P6" t="s">
        <v>28</v>
      </c>
    </row>
    <row r="7" spans="1:16" x14ac:dyDescent="0.25">
      <c r="A7" t="s">
        <v>425</v>
      </c>
      <c r="B7" t="s">
        <v>319</v>
      </c>
      <c r="D7" t="s">
        <v>299</v>
      </c>
      <c r="E7" t="s">
        <v>413</v>
      </c>
      <c r="F7" t="s">
        <v>19</v>
      </c>
      <c r="G7" t="s">
        <v>46</v>
      </c>
      <c r="I7" t="s">
        <v>412</v>
      </c>
      <c r="J7" t="s">
        <v>357</v>
      </c>
      <c r="L7" t="s">
        <v>340</v>
      </c>
      <c r="M7" s="6" t="s">
        <v>25</v>
      </c>
      <c r="N7" s="6">
        <v>6018</v>
      </c>
      <c r="O7" t="s">
        <v>45</v>
      </c>
      <c r="P7" t="s">
        <v>28</v>
      </c>
    </row>
    <row r="8" spans="1:16" x14ac:dyDescent="0.25">
      <c r="A8" t="s">
        <v>425</v>
      </c>
      <c r="B8" t="s">
        <v>320</v>
      </c>
      <c r="D8" t="s">
        <v>300</v>
      </c>
      <c r="E8" t="s">
        <v>411</v>
      </c>
      <c r="F8" t="s">
        <v>19</v>
      </c>
      <c r="G8" t="s">
        <v>49</v>
      </c>
      <c r="I8" t="s">
        <v>410</v>
      </c>
      <c r="J8" t="s">
        <v>358</v>
      </c>
      <c r="L8" t="s">
        <v>347</v>
      </c>
      <c r="M8" s="6" t="s">
        <v>25</v>
      </c>
      <c r="N8" s="6">
        <v>6007</v>
      </c>
      <c r="O8" t="s">
        <v>48</v>
      </c>
      <c r="P8" t="s">
        <v>288</v>
      </c>
    </row>
    <row r="9" spans="1:16" x14ac:dyDescent="0.25">
      <c r="A9" t="s">
        <v>425</v>
      </c>
      <c r="B9" t="s">
        <v>321</v>
      </c>
      <c r="D9" t="s">
        <v>301</v>
      </c>
      <c r="E9" t="s">
        <v>409</v>
      </c>
      <c r="F9" t="s">
        <v>19</v>
      </c>
      <c r="G9" t="s">
        <v>53</v>
      </c>
      <c r="I9" t="s">
        <v>408</v>
      </c>
      <c r="J9" t="s">
        <v>359</v>
      </c>
      <c r="L9" t="s">
        <v>348</v>
      </c>
      <c r="M9" s="6" t="s">
        <v>25</v>
      </c>
      <c r="N9" s="6">
        <v>6062</v>
      </c>
      <c r="O9" t="s">
        <v>52</v>
      </c>
      <c r="P9" t="s">
        <v>288</v>
      </c>
    </row>
    <row r="10" spans="1:16" x14ac:dyDescent="0.25">
      <c r="A10" t="s">
        <v>425</v>
      </c>
      <c r="B10" t="s">
        <v>322</v>
      </c>
      <c r="D10" t="s">
        <v>302</v>
      </c>
      <c r="E10" t="s">
        <v>407</v>
      </c>
      <c r="F10" t="s">
        <v>19</v>
      </c>
      <c r="G10" t="s">
        <v>53</v>
      </c>
      <c r="I10" t="s">
        <v>406</v>
      </c>
      <c r="J10" t="s">
        <v>360</v>
      </c>
      <c r="L10" t="s">
        <v>347</v>
      </c>
      <c r="M10" s="6" t="s">
        <v>25</v>
      </c>
      <c r="N10" s="6">
        <v>6007</v>
      </c>
      <c r="O10" t="s">
        <v>55</v>
      </c>
      <c r="P10" t="s">
        <v>288</v>
      </c>
    </row>
    <row r="11" spans="1:16" x14ac:dyDescent="0.25">
      <c r="A11" t="s">
        <v>424</v>
      </c>
      <c r="B11" t="s">
        <v>323</v>
      </c>
      <c r="D11" t="s">
        <v>303</v>
      </c>
      <c r="E11" t="s">
        <v>405</v>
      </c>
      <c r="F11" t="s">
        <v>31</v>
      </c>
      <c r="G11" t="s">
        <v>58</v>
      </c>
      <c r="I11" t="s">
        <v>404</v>
      </c>
      <c r="J11" t="s">
        <v>361</v>
      </c>
      <c r="L11" t="s">
        <v>349</v>
      </c>
      <c r="M11" s="6" t="s">
        <v>25</v>
      </c>
      <c r="N11" s="6">
        <v>6053</v>
      </c>
      <c r="O11" t="s">
        <v>57</v>
      </c>
      <c r="P11" t="s">
        <v>288</v>
      </c>
    </row>
    <row r="12" spans="1:16" x14ac:dyDescent="0.25">
      <c r="A12" t="s">
        <v>427</v>
      </c>
      <c r="B12" t="s">
        <v>324</v>
      </c>
      <c r="D12" t="s">
        <v>304</v>
      </c>
      <c r="E12" t="s">
        <v>403</v>
      </c>
      <c r="F12" t="s">
        <v>31</v>
      </c>
      <c r="G12" t="s">
        <v>58</v>
      </c>
      <c r="I12" t="s">
        <v>402</v>
      </c>
      <c r="J12" t="s">
        <v>362</v>
      </c>
      <c r="L12" t="s">
        <v>346</v>
      </c>
      <c r="M12" s="6" t="s">
        <v>25</v>
      </c>
      <c r="N12" s="6">
        <v>6005</v>
      </c>
      <c r="O12" t="s">
        <v>60</v>
      </c>
      <c r="P12" t="s">
        <v>288</v>
      </c>
    </row>
    <row r="13" spans="1:16" x14ac:dyDescent="0.25">
      <c r="A13" t="s">
        <v>425</v>
      </c>
      <c r="B13" t="s">
        <v>325</v>
      </c>
      <c r="D13" t="s">
        <v>305</v>
      </c>
      <c r="E13" t="s">
        <v>401</v>
      </c>
      <c r="F13" t="s">
        <v>19</v>
      </c>
      <c r="G13" t="s">
        <v>58</v>
      </c>
      <c r="I13" t="s">
        <v>400</v>
      </c>
      <c r="J13" t="s">
        <v>363</v>
      </c>
      <c r="L13" t="s">
        <v>341</v>
      </c>
      <c r="M13" s="6" t="s">
        <v>25</v>
      </c>
      <c r="N13" s="6">
        <v>6027</v>
      </c>
      <c r="O13" t="s">
        <v>62</v>
      </c>
      <c r="P13" t="s">
        <v>288</v>
      </c>
    </row>
    <row r="14" spans="1:16" x14ac:dyDescent="0.25">
      <c r="A14" t="s">
        <v>427</v>
      </c>
      <c r="B14" t="s">
        <v>326</v>
      </c>
      <c r="D14" t="s">
        <v>306</v>
      </c>
      <c r="E14" t="s">
        <v>399</v>
      </c>
      <c r="F14" t="s">
        <v>31</v>
      </c>
      <c r="G14" t="s">
        <v>58</v>
      </c>
      <c r="I14" t="s">
        <v>398</v>
      </c>
      <c r="J14" t="s">
        <v>364</v>
      </c>
      <c r="L14" t="s">
        <v>350</v>
      </c>
      <c r="M14" s="6" t="s">
        <v>25</v>
      </c>
      <c r="N14" s="6">
        <v>6026</v>
      </c>
      <c r="O14" t="s">
        <v>64</v>
      </c>
      <c r="P14" t="s">
        <v>288</v>
      </c>
    </row>
    <row r="15" spans="1:16" x14ac:dyDescent="0.25">
      <c r="A15" t="s">
        <v>425</v>
      </c>
      <c r="B15" t="s">
        <v>327</v>
      </c>
      <c r="D15" t="s">
        <v>307</v>
      </c>
      <c r="E15" t="s">
        <v>397</v>
      </c>
      <c r="F15" t="s">
        <v>19</v>
      </c>
      <c r="G15" t="s">
        <v>58</v>
      </c>
      <c r="I15" t="s">
        <v>396</v>
      </c>
      <c r="J15" t="s">
        <v>365</v>
      </c>
      <c r="L15" t="s">
        <v>337</v>
      </c>
      <c r="M15" s="6" t="s">
        <v>25</v>
      </c>
      <c r="N15" s="6">
        <v>6008</v>
      </c>
      <c r="O15" t="s">
        <v>66</v>
      </c>
      <c r="P15" t="s">
        <v>288</v>
      </c>
    </row>
    <row r="16" spans="1:16" x14ac:dyDescent="0.25">
      <c r="A16" t="s">
        <v>425</v>
      </c>
      <c r="B16" t="s">
        <v>328</v>
      </c>
      <c r="D16" t="s">
        <v>308</v>
      </c>
      <c r="E16" t="s">
        <v>395</v>
      </c>
      <c r="F16" t="s">
        <v>19</v>
      </c>
      <c r="G16" t="s">
        <v>58</v>
      </c>
      <c r="I16" t="s">
        <v>394</v>
      </c>
      <c r="J16" t="s">
        <v>366</v>
      </c>
      <c r="L16" t="s">
        <v>345</v>
      </c>
      <c r="M16" s="6" t="s">
        <v>25</v>
      </c>
      <c r="N16" s="6">
        <v>6010</v>
      </c>
      <c r="O16" t="s">
        <v>68</v>
      </c>
      <c r="P16" t="s">
        <v>288</v>
      </c>
    </row>
    <row r="17" spans="1:16" x14ac:dyDescent="0.25">
      <c r="A17" t="s">
        <v>425</v>
      </c>
      <c r="B17" t="s">
        <v>329</v>
      </c>
      <c r="D17" t="s">
        <v>309</v>
      </c>
      <c r="E17" t="s">
        <v>393</v>
      </c>
      <c r="F17" t="s">
        <v>19</v>
      </c>
      <c r="G17" t="s">
        <v>71</v>
      </c>
      <c r="I17" t="s">
        <v>392</v>
      </c>
      <c r="J17" t="s">
        <v>367</v>
      </c>
      <c r="L17" t="s">
        <v>351</v>
      </c>
      <c r="M17" s="6" t="s">
        <v>25</v>
      </c>
      <c r="N17" s="6">
        <v>6020</v>
      </c>
      <c r="O17" t="s">
        <v>70</v>
      </c>
      <c r="P17" t="s">
        <v>289</v>
      </c>
    </row>
    <row r="18" spans="1:16" x14ac:dyDescent="0.25">
      <c r="A18" t="s">
        <v>425</v>
      </c>
      <c r="B18" t="s">
        <v>330</v>
      </c>
      <c r="D18" t="s">
        <v>310</v>
      </c>
      <c r="E18" t="s">
        <v>391</v>
      </c>
      <c r="F18" t="s">
        <v>19</v>
      </c>
      <c r="G18" t="s">
        <v>75</v>
      </c>
      <c r="I18" t="s">
        <v>390</v>
      </c>
      <c r="J18" t="s">
        <v>368</v>
      </c>
      <c r="L18" t="s">
        <v>344</v>
      </c>
      <c r="M18" s="6" t="s">
        <v>25</v>
      </c>
      <c r="N18" s="6">
        <v>6035</v>
      </c>
      <c r="O18" t="s">
        <v>74</v>
      </c>
      <c r="P18" t="s">
        <v>289</v>
      </c>
    </row>
    <row r="19" spans="1:16" x14ac:dyDescent="0.25">
      <c r="A19" t="s">
        <v>425</v>
      </c>
      <c r="B19" t="s">
        <v>331</v>
      </c>
      <c r="D19" t="s">
        <v>311</v>
      </c>
      <c r="E19" t="s">
        <v>389</v>
      </c>
      <c r="F19" t="s">
        <v>19</v>
      </c>
      <c r="G19" t="s">
        <v>75</v>
      </c>
      <c r="I19" t="s">
        <v>388</v>
      </c>
      <c r="J19" t="s">
        <v>369</v>
      </c>
      <c r="L19" t="s">
        <v>343</v>
      </c>
      <c r="M19" s="6" t="s">
        <v>25</v>
      </c>
      <c r="N19" s="6">
        <v>6025</v>
      </c>
      <c r="O19" t="s">
        <v>77</v>
      </c>
      <c r="P19" t="s">
        <v>289</v>
      </c>
    </row>
    <row r="20" spans="1:16" x14ac:dyDescent="0.25">
      <c r="A20" t="s">
        <v>425</v>
      </c>
      <c r="B20" t="s">
        <v>332</v>
      </c>
      <c r="D20" t="s">
        <v>312</v>
      </c>
      <c r="E20" t="s">
        <v>387</v>
      </c>
      <c r="F20" t="s">
        <v>19</v>
      </c>
      <c r="G20" t="s">
        <v>75</v>
      </c>
      <c r="I20" t="s">
        <v>386</v>
      </c>
      <c r="J20" t="s">
        <v>370</v>
      </c>
      <c r="L20" t="s">
        <v>342</v>
      </c>
      <c r="M20" s="6" t="s">
        <v>25</v>
      </c>
      <c r="N20" s="6">
        <v>6061</v>
      </c>
      <c r="O20" t="s">
        <v>79</v>
      </c>
      <c r="P20" t="s">
        <v>289</v>
      </c>
    </row>
    <row r="21" spans="1:16" x14ac:dyDescent="0.25">
      <c r="A21" t="s">
        <v>426</v>
      </c>
      <c r="B21" t="s">
        <v>333</v>
      </c>
      <c r="D21" t="s">
        <v>313</v>
      </c>
      <c r="E21" t="s">
        <v>385</v>
      </c>
      <c r="F21" t="s">
        <v>31</v>
      </c>
      <c r="G21" t="s">
        <v>75</v>
      </c>
      <c r="I21" t="s">
        <v>384</v>
      </c>
      <c r="J21" t="s">
        <v>371</v>
      </c>
      <c r="L21" t="s">
        <v>372</v>
      </c>
      <c r="M21" s="6" t="s">
        <v>25</v>
      </c>
      <c r="N21" s="6">
        <v>6065</v>
      </c>
      <c r="O21" t="s">
        <v>81</v>
      </c>
      <c r="P21" t="s">
        <v>289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workbookViewId="0">
      <selection activeCell="G2" sqref="G2:G21"/>
    </sheetView>
  </sheetViews>
  <sheetFormatPr defaultRowHeight="15" x14ac:dyDescent="0.25"/>
  <cols>
    <col min="2" max="2" width="10.5703125" bestFit="1" customWidth="1"/>
    <col min="3" max="3" width="12.5703125" bestFit="1" customWidth="1"/>
    <col min="4" max="4" width="14.140625" bestFit="1" customWidth="1"/>
    <col min="5" max="5" width="10.85546875" bestFit="1" customWidth="1"/>
    <col min="7" max="7" width="12.7109375" bestFit="1" customWidth="1"/>
    <col min="8" max="8" width="13.28515625" bestFit="1" customWidth="1"/>
    <col min="9" max="10" width="13.28515625" customWidth="1"/>
    <col min="11" max="11" width="18.140625" bestFit="1" customWidth="1"/>
    <col min="13" max="13" width="12" customWidth="1"/>
  </cols>
  <sheetData>
    <row r="1" spans="1:22" x14ac:dyDescent="0.25">
      <c r="A1" t="s">
        <v>0</v>
      </c>
      <c r="B1" t="s">
        <v>292</v>
      </c>
      <c r="C1" t="s">
        <v>293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290</v>
      </c>
      <c r="J1" t="s">
        <v>291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1:22" x14ac:dyDescent="0.25">
      <c r="A2" t="s">
        <v>18</v>
      </c>
      <c r="B2" t="s">
        <v>314</v>
      </c>
      <c r="C2" t="s">
        <v>294</v>
      </c>
      <c r="D2" t="s">
        <v>334</v>
      </c>
      <c r="E2" s="1">
        <v>33238</v>
      </c>
      <c r="F2" t="s">
        <v>31</v>
      </c>
      <c r="G2" t="s">
        <v>20</v>
      </c>
      <c r="H2" t="s">
        <v>352</v>
      </c>
      <c r="I2" t="s">
        <v>336</v>
      </c>
      <c r="J2">
        <v>6009</v>
      </c>
      <c r="L2" t="s">
        <v>21</v>
      </c>
      <c r="M2" s="1">
        <v>43620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 t="s">
        <v>287</v>
      </c>
      <c r="V2" t="s">
        <v>29</v>
      </c>
    </row>
    <row r="3" spans="1:22" x14ac:dyDescent="0.25">
      <c r="A3" t="s">
        <v>30</v>
      </c>
      <c r="B3" t="s">
        <v>315</v>
      </c>
      <c r="C3" t="s">
        <v>295</v>
      </c>
      <c r="D3" t="s">
        <v>248</v>
      </c>
      <c r="E3" s="1">
        <v>34984</v>
      </c>
      <c r="F3" t="s">
        <v>31</v>
      </c>
      <c r="G3" t="s">
        <v>32</v>
      </c>
      <c r="H3" t="s">
        <v>353</v>
      </c>
      <c r="I3" t="s">
        <v>337</v>
      </c>
      <c r="J3">
        <v>6008</v>
      </c>
      <c r="L3" t="s">
        <v>21</v>
      </c>
      <c r="M3" s="1">
        <v>43556</v>
      </c>
      <c r="O3" t="s">
        <v>33</v>
      </c>
      <c r="P3" t="s">
        <v>23</v>
      </c>
      <c r="Q3" t="s">
        <v>24</v>
      </c>
      <c r="R3" t="s">
        <v>25</v>
      </c>
      <c r="S3" t="s">
        <v>26</v>
      </c>
      <c r="T3" t="s">
        <v>27</v>
      </c>
      <c r="U3" t="s">
        <v>28</v>
      </c>
      <c r="V3" t="s">
        <v>29</v>
      </c>
    </row>
    <row r="4" spans="1:22" x14ac:dyDescent="0.25">
      <c r="A4" t="s">
        <v>34</v>
      </c>
      <c r="B4" t="s">
        <v>316</v>
      </c>
      <c r="C4" t="s">
        <v>296</v>
      </c>
      <c r="D4" t="s">
        <v>249</v>
      </c>
      <c r="E4" s="1">
        <v>34058</v>
      </c>
      <c r="F4" t="s">
        <v>19</v>
      </c>
      <c r="G4" t="s">
        <v>35</v>
      </c>
      <c r="H4" t="s">
        <v>354</v>
      </c>
      <c r="I4" t="s">
        <v>337</v>
      </c>
      <c r="J4">
        <v>6008</v>
      </c>
      <c r="L4" t="s">
        <v>21</v>
      </c>
      <c r="M4" s="1">
        <v>44912</v>
      </c>
      <c r="O4" t="s">
        <v>36</v>
      </c>
      <c r="P4" t="s">
        <v>37</v>
      </c>
      <c r="Q4" t="s">
        <v>24</v>
      </c>
      <c r="R4" t="s">
        <v>25</v>
      </c>
      <c r="S4" t="s">
        <v>26</v>
      </c>
      <c r="T4" t="s">
        <v>27</v>
      </c>
      <c r="U4" t="s">
        <v>28</v>
      </c>
      <c r="V4" t="s">
        <v>29</v>
      </c>
    </row>
    <row r="5" spans="1:22" x14ac:dyDescent="0.25">
      <c r="A5" t="s">
        <v>38</v>
      </c>
      <c r="B5" t="s">
        <v>317</v>
      </c>
      <c r="C5" t="s">
        <v>297</v>
      </c>
      <c r="D5" t="s">
        <v>250</v>
      </c>
      <c r="E5" s="1">
        <v>34037</v>
      </c>
      <c r="F5" t="s">
        <v>19</v>
      </c>
      <c r="G5" t="s">
        <v>39</v>
      </c>
      <c r="H5" t="s">
        <v>355</v>
      </c>
      <c r="I5" t="s">
        <v>338</v>
      </c>
      <c r="J5">
        <v>6009</v>
      </c>
      <c r="L5" t="s">
        <v>21</v>
      </c>
      <c r="M5" s="1">
        <v>43915</v>
      </c>
      <c r="O5" t="s">
        <v>40</v>
      </c>
      <c r="P5" t="s">
        <v>37</v>
      </c>
      <c r="Q5" t="s">
        <v>24</v>
      </c>
      <c r="R5" t="s">
        <v>25</v>
      </c>
      <c r="S5" t="s">
        <v>26</v>
      </c>
      <c r="T5" t="s">
        <v>27</v>
      </c>
      <c r="U5" t="s">
        <v>28</v>
      </c>
      <c r="V5" t="s">
        <v>29</v>
      </c>
    </row>
    <row r="6" spans="1:22" x14ac:dyDescent="0.25">
      <c r="A6" t="s">
        <v>41</v>
      </c>
      <c r="B6" t="s">
        <v>318</v>
      </c>
      <c r="C6" t="s">
        <v>298</v>
      </c>
      <c r="D6" t="s">
        <v>251</v>
      </c>
      <c r="E6" s="1">
        <v>33299</v>
      </c>
      <c r="F6" t="s">
        <v>19</v>
      </c>
      <c r="G6" t="s">
        <v>42</v>
      </c>
      <c r="H6" t="s">
        <v>356</v>
      </c>
      <c r="I6" t="s">
        <v>339</v>
      </c>
      <c r="J6">
        <v>6008</v>
      </c>
      <c r="L6" t="s">
        <v>21</v>
      </c>
      <c r="M6" s="1">
        <v>44823</v>
      </c>
      <c r="O6" t="s">
        <v>43</v>
      </c>
      <c r="P6" t="s">
        <v>37</v>
      </c>
      <c r="Q6" t="s">
        <v>24</v>
      </c>
      <c r="R6" t="s">
        <v>25</v>
      </c>
      <c r="S6" t="s">
        <v>26</v>
      </c>
      <c r="T6" t="s">
        <v>27</v>
      </c>
      <c r="U6" t="s">
        <v>28</v>
      </c>
      <c r="V6" t="s">
        <v>29</v>
      </c>
    </row>
    <row r="7" spans="1:22" x14ac:dyDescent="0.25">
      <c r="A7" t="s">
        <v>44</v>
      </c>
      <c r="B7" t="s">
        <v>319</v>
      </c>
      <c r="C7" t="s">
        <v>299</v>
      </c>
      <c r="D7" t="s">
        <v>285</v>
      </c>
      <c r="E7" s="1">
        <v>26357</v>
      </c>
      <c r="F7" t="s">
        <v>19</v>
      </c>
      <c r="G7" t="s">
        <v>45</v>
      </c>
      <c r="H7" t="s">
        <v>357</v>
      </c>
      <c r="I7" t="s">
        <v>340</v>
      </c>
      <c r="J7">
        <v>6018</v>
      </c>
      <c r="L7" t="s">
        <v>21</v>
      </c>
      <c r="M7" s="1">
        <v>44514</v>
      </c>
      <c r="O7" t="s">
        <v>46</v>
      </c>
      <c r="P7" t="s">
        <v>37</v>
      </c>
      <c r="Q7" t="s">
        <v>24</v>
      </c>
      <c r="R7" t="s">
        <v>25</v>
      </c>
      <c r="S7" t="s">
        <v>26</v>
      </c>
      <c r="T7" t="s">
        <v>27</v>
      </c>
      <c r="U7" t="s">
        <v>28</v>
      </c>
      <c r="V7" t="s">
        <v>29</v>
      </c>
    </row>
    <row r="8" spans="1:22" x14ac:dyDescent="0.25">
      <c r="A8" t="s">
        <v>47</v>
      </c>
      <c r="B8" t="s">
        <v>320</v>
      </c>
      <c r="C8" t="s">
        <v>300</v>
      </c>
      <c r="D8" t="s">
        <v>252</v>
      </c>
      <c r="E8" s="1">
        <v>27861</v>
      </c>
      <c r="F8" t="s">
        <v>19</v>
      </c>
      <c r="G8" t="s">
        <v>48</v>
      </c>
      <c r="H8" t="s">
        <v>358</v>
      </c>
      <c r="I8" t="s">
        <v>347</v>
      </c>
      <c r="J8">
        <v>6007</v>
      </c>
      <c r="L8" t="s">
        <v>21</v>
      </c>
      <c r="M8" s="1">
        <v>43126</v>
      </c>
      <c r="O8" t="s">
        <v>49</v>
      </c>
      <c r="P8" t="s">
        <v>50</v>
      </c>
      <c r="Q8" t="s">
        <v>24</v>
      </c>
      <c r="R8" t="s">
        <v>25</v>
      </c>
      <c r="S8" t="s">
        <v>26</v>
      </c>
      <c r="T8" t="s">
        <v>27</v>
      </c>
      <c r="U8" t="s">
        <v>288</v>
      </c>
      <c r="V8" t="s">
        <v>29</v>
      </c>
    </row>
    <row r="9" spans="1:22" x14ac:dyDescent="0.25">
      <c r="A9" t="s">
        <v>51</v>
      </c>
      <c r="B9" t="s">
        <v>321</v>
      </c>
      <c r="C9" t="s">
        <v>301</v>
      </c>
      <c r="D9" t="s">
        <v>253</v>
      </c>
      <c r="E9" s="1">
        <v>26922</v>
      </c>
      <c r="F9" t="s">
        <v>19</v>
      </c>
      <c r="G9" t="s">
        <v>52</v>
      </c>
      <c r="H9" t="s">
        <v>359</v>
      </c>
      <c r="I9" t="s">
        <v>348</v>
      </c>
      <c r="J9">
        <v>6062</v>
      </c>
      <c r="L9" t="s">
        <v>21</v>
      </c>
      <c r="M9" s="1">
        <v>44835</v>
      </c>
      <c r="O9" t="s">
        <v>53</v>
      </c>
      <c r="P9" t="s">
        <v>50</v>
      </c>
      <c r="Q9" t="s">
        <v>341</v>
      </c>
      <c r="R9" t="s">
        <v>25</v>
      </c>
      <c r="S9" t="s">
        <v>26</v>
      </c>
      <c r="T9" t="s">
        <v>27</v>
      </c>
      <c r="U9" t="s">
        <v>288</v>
      </c>
      <c r="V9" t="s">
        <v>29</v>
      </c>
    </row>
    <row r="10" spans="1:22" x14ac:dyDescent="0.25">
      <c r="A10" t="s">
        <v>54</v>
      </c>
      <c r="B10" t="s">
        <v>322</v>
      </c>
      <c r="C10" t="s">
        <v>302</v>
      </c>
      <c r="D10" t="s">
        <v>254</v>
      </c>
      <c r="E10" s="1">
        <v>28911</v>
      </c>
      <c r="F10" t="s">
        <v>19</v>
      </c>
      <c r="G10" t="s">
        <v>55</v>
      </c>
      <c r="H10" t="s">
        <v>360</v>
      </c>
      <c r="I10" t="s">
        <v>347</v>
      </c>
      <c r="J10">
        <v>6007</v>
      </c>
      <c r="L10" t="s">
        <v>21</v>
      </c>
      <c r="M10" s="1">
        <v>44395</v>
      </c>
      <c r="O10" t="s">
        <v>53</v>
      </c>
      <c r="P10" t="s">
        <v>50</v>
      </c>
      <c r="Q10" t="s">
        <v>24</v>
      </c>
      <c r="R10" t="s">
        <v>25</v>
      </c>
      <c r="S10" t="s">
        <v>26</v>
      </c>
      <c r="T10" t="s">
        <v>27</v>
      </c>
      <c r="U10" t="s">
        <v>288</v>
      </c>
      <c r="V10" t="s">
        <v>29</v>
      </c>
    </row>
    <row r="11" spans="1:22" x14ac:dyDescent="0.25">
      <c r="A11" t="s">
        <v>56</v>
      </c>
      <c r="B11" t="s">
        <v>323</v>
      </c>
      <c r="C11" t="s">
        <v>303</v>
      </c>
      <c r="D11" t="s">
        <v>255</v>
      </c>
      <c r="E11" s="1">
        <v>30159</v>
      </c>
      <c r="F11" t="s">
        <v>31</v>
      </c>
      <c r="G11" t="s">
        <v>57</v>
      </c>
      <c r="H11" t="s">
        <v>361</v>
      </c>
      <c r="I11" t="s">
        <v>349</v>
      </c>
      <c r="J11">
        <v>6053</v>
      </c>
      <c r="L11" t="s">
        <v>21</v>
      </c>
      <c r="M11" s="1">
        <v>44038</v>
      </c>
      <c r="O11" t="s">
        <v>58</v>
      </c>
      <c r="P11" t="s">
        <v>50</v>
      </c>
      <c r="Q11" t="s">
        <v>341</v>
      </c>
      <c r="R11" t="s">
        <v>25</v>
      </c>
      <c r="S11" t="s">
        <v>26</v>
      </c>
      <c r="T11" t="s">
        <v>27</v>
      </c>
      <c r="U11" t="s">
        <v>288</v>
      </c>
      <c r="V11" t="s">
        <v>29</v>
      </c>
    </row>
    <row r="12" spans="1:22" x14ac:dyDescent="0.25">
      <c r="A12" t="s">
        <v>59</v>
      </c>
      <c r="B12" t="s">
        <v>324</v>
      </c>
      <c r="C12" t="s">
        <v>304</v>
      </c>
      <c r="D12" t="s">
        <v>256</v>
      </c>
      <c r="E12" s="1">
        <v>30600</v>
      </c>
      <c r="F12" t="s">
        <v>31</v>
      </c>
      <c r="G12" t="s">
        <v>60</v>
      </c>
      <c r="H12" t="s">
        <v>362</v>
      </c>
      <c r="I12" t="s">
        <v>346</v>
      </c>
      <c r="J12">
        <v>6005</v>
      </c>
      <c r="L12" t="s">
        <v>21</v>
      </c>
      <c r="M12" s="1">
        <v>44727</v>
      </c>
      <c r="O12" t="s">
        <v>58</v>
      </c>
      <c r="P12" t="s">
        <v>50</v>
      </c>
      <c r="Q12" t="s">
        <v>24</v>
      </c>
      <c r="R12" t="s">
        <v>25</v>
      </c>
      <c r="S12" t="s">
        <v>26</v>
      </c>
      <c r="T12" t="s">
        <v>27</v>
      </c>
      <c r="U12" t="s">
        <v>288</v>
      </c>
      <c r="V12" t="s">
        <v>29</v>
      </c>
    </row>
    <row r="13" spans="1:22" x14ac:dyDescent="0.25">
      <c r="A13" t="s">
        <v>61</v>
      </c>
      <c r="B13" t="s">
        <v>325</v>
      </c>
      <c r="C13" t="s">
        <v>305</v>
      </c>
      <c r="D13" t="s">
        <v>257</v>
      </c>
      <c r="E13" s="1">
        <v>25891</v>
      </c>
      <c r="F13" t="s">
        <v>19</v>
      </c>
      <c r="G13" t="s">
        <v>62</v>
      </c>
      <c r="H13" t="s">
        <v>363</v>
      </c>
      <c r="I13" t="s">
        <v>341</v>
      </c>
      <c r="J13">
        <v>6027</v>
      </c>
      <c r="L13" t="s">
        <v>21</v>
      </c>
      <c r="M13" s="1">
        <v>43613</v>
      </c>
      <c r="O13" t="s">
        <v>58</v>
      </c>
      <c r="P13" t="s">
        <v>50</v>
      </c>
      <c r="Q13" t="s">
        <v>341</v>
      </c>
      <c r="R13" t="s">
        <v>25</v>
      </c>
      <c r="S13" t="s">
        <v>26</v>
      </c>
      <c r="T13" t="s">
        <v>27</v>
      </c>
      <c r="U13" t="s">
        <v>288</v>
      </c>
      <c r="V13" t="s">
        <v>29</v>
      </c>
    </row>
    <row r="14" spans="1:22" x14ac:dyDescent="0.25">
      <c r="A14" t="s">
        <v>63</v>
      </c>
      <c r="B14" t="s">
        <v>326</v>
      </c>
      <c r="C14" t="s">
        <v>306</v>
      </c>
      <c r="D14" t="s">
        <v>258</v>
      </c>
      <c r="E14" s="1">
        <v>34455</v>
      </c>
      <c r="F14" t="s">
        <v>31</v>
      </c>
      <c r="G14" t="s">
        <v>64</v>
      </c>
      <c r="H14" t="s">
        <v>364</v>
      </c>
      <c r="I14" t="s">
        <v>350</v>
      </c>
      <c r="J14">
        <v>6026</v>
      </c>
      <c r="L14" t="s">
        <v>21</v>
      </c>
      <c r="M14" s="1">
        <v>44175</v>
      </c>
      <c r="O14" t="s">
        <v>58</v>
      </c>
      <c r="P14" t="s">
        <v>50</v>
      </c>
      <c r="Q14" t="s">
        <v>341</v>
      </c>
      <c r="R14" t="s">
        <v>25</v>
      </c>
      <c r="S14" t="s">
        <v>26</v>
      </c>
      <c r="T14" t="s">
        <v>27</v>
      </c>
      <c r="U14" t="s">
        <v>288</v>
      </c>
      <c r="V14" t="s">
        <v>29</v>
      </c>
    </row>
    <row r="15" spans="1:22" x14ac:dyDescent="0.25">
      <c r="A15" t="s">
        <v>65</v>
      </c>
      <c r="B15" t="s">
        <v>327</v>
      </c>
      <c r="C15" t="s">
        <v>307</v>
      </c>
      <c r="D15" t="s">
        <v>335</v>
      </c>
      <c r="E15" s="1">
        <v>32897</v>
      </c>
      <c r="F15" t="s">
        <v>19</v>
      </c>
      <c r="G15" t="s">
        <v>66</v>
      </c>
      <c r="H15" t="s">
        <v>365</v>
      </c>
      <c r="I15" t="s">
        <v>337</v>
      </c>
      <c r="J15">
        <v>6008</v>
      </c>
      <c r="L15" t="s">
        <v>21</v>
      </c>
      <c r="M15" s="1">
        <v>43243</v>
      </c>
      <c r="O15" t="s">
        <v>58</v>
      </c>
      <c r="P15" t="s">
        <v>50</v>
      </c>
      <c r="Q15" t="s">
        <v>24</v>
      </c>
      <c r="R15" t="s">
        <v>25</v>
      </c>
      <c r="S15" t="s">
        <v>26</v>
      </c>
      <c r="T15" t="s">
        <v>27</v>
      </c>
      <c r="U15" t="s">
        <v>288</v>
      </c>
      <c r="V15" t="s">
        <v>29</v>
      </c>
    </row>
    <row r="16" spans="1:22" x14ac:dyDescent="0.25">
      <c r="A16" t="s">
        <v>67</v>
      </c>
      <c r="B16" t="s">
        <v>328</v>
      </c>
      <c r="C16" t="s">
        <v>308</v>
      </c>
      <c r="D16" t="s">
        <v>259</v>
      </c>
      <c r="E16" s="1">
        <v>26286</v>
      </c>
      <c r="F16" t="s">
        <v>19</v>
      </c>
      <c r="G16" t="s">
        <v>68</v>
      </c>
      <c r="H16" t="s">
        <v>366</v>
      </c>
      <c r="I16" t="s">
        <v>345</v>
      </c>
      <c r="J16">
        <v>6010</v>
      </c>
      <c r="L16" t="s">
        <v>21</v>
      </c>
      <c r="M16" s="1">
        <v>44113</v>
      </c>
      <c r="O16" t="s">
        <v>58</v>
      </c>
      <c r="P16" t="s">
        <v>50</v>
      </c>
      <c r="Q16" t="s">
        <v>24</v>
      </c>
      <c r="R16" t="s">
        <v>25</v>
      </c>
      <c r="S16" t="s">
        <v>26</v>
      </c>
      <c r="T16" t="s">
        <v>27</v>
      </c>
      <c r="U16" t="s">
        <v>288</v>
      </c>
      <c r="V16" t="s">
        <v>29</v>
      </c>
    </row>
    <row r="17" spans="1:22" x14ac:dyDescent="0.25">
      <c r="A17" t="s">
        <v>69</v>
      </c>
      <c r="B17" t="s">
        <v>329</v>
      </c>
      <c r="C17" t="s">
        <v>309</v>
      </c>
      <c r="D17" t="s">
        <v>264</v>
      </c>
      <c r="E17" s="1">
        <v>28856</v>
      </c>
      <c r="F17" t="s">
        <v>19</v>
      </c>
      <c r="G17" t="s">
        <v>70</v>
      </c>
      <c r="H17" t="s">
        <v>367</v>
      </c>
      <c r="I17" t="s">
        <v>351</v>
      </c>
      <c r="J17">
        <v>6020</v>
      </c>
      <c r="L17" t="s">
        <v>21</v>
      </c>
      <c r="M17" s="1">
        <v>43808</v>
      </c>
      <c r="O17" t="s">
        <v>71</v>
      </c>
      <c r="P17" t="s">
        <v>72</v>
      </c>
      <c r="Q17" t="s">
        <v>341</v>
      </c>
      <c r="R17" t="s">
        <v>25</v>
      </c>
      <c r="S17" t="s">
        <v>26</v>
      </c>
      <c r="T17" t="s">
        <v>27</v>
      </c>
      <c r="U17" t="s">
        <v>289</v>
      </c>
      <c r="V17" t="s">
        <v>29</v>
      </c>
    </row>
    <row r="18" spans="1:22" x14ac:dyDescent="0.25">
      <c r="A18" t="s">
        <v>73</v>
      </c>
      <c r="B18" t="s">
        <v>330</v>
      </c>
      <c r="C18" t="s">
        <v>310</v>
      </c>
      <c r="D18" t="s">
        <v>263</v>
      </c>
      <c r="E18" s="1">
        <v>28845</v>
      </c>
      <c r="F18" t="s">
        <v>19</v>
      </c>
      <c r="G18" t="s">
        <v>74</v>
      </c>
      <c r="H18" t="s">
        <v>368</v>
      </c>
      <c r="I18" t="s">
        <v>344</v>
      </c>
      <c r="J18">
        <v>6035</v>
      </c>
      <c r="L18" t="s">
        <v>21</v>
      </c>
      <c r="M18" s="1">
        <v>43651</v>
      </c>
      <c r="O18" t="s">
        <v>75</v>
      </c>
      <c r="P18" t="s">
        <v>72</v>
      </c>
      <c r="Q18" t="s">
        <v>341</v>
      </c>
      <c r="R18" t="s">
        <v>25</v>
      </c>
      <c r="S18" t="s">
        <v>26</v>
      </c>
      <c r="T18" t="s">
        <v>27</v>
      </c>
      <c r="U18" t="s">
        <v>289</v>
      </c>
      <c r="V18" t="s">
        <v>29</v>
      </c>
    </row>
    <row r="19" spans="1:22" x14ac:dyDescent="0.25">
      <c r="A19" t="s">
        <v>76</v>
      </c>
      <c r="B19" t="s">
        <v>331</v>
      </c>
      <c r="C19" t="s">
        <v>311</v>
      </c>
      <c r="D19" t="s">
        <v>262</v>
      </c>
      <c r="E19" s="1">
        <v>34422</v>
      </c>
      <c r="F19" t="s">
        <v>19</v>
      </c>
      <c r="G19" t="s">
        <v>77</v>
      </c>
      <c r="H19" t="s">
        <v>369</v>
      </c>
      <c r="I19" t="s">
        <v>343</v>
      </c>
      <c r="J19">
        <v>6025</v>
      </c>
      <c r="L19" t="s">
        <v>21</v>
      </c>
      <c r="M19" s="1">
        <v>44340</v>
      </c>
      <c r="O19" t="s">
        <v>75</v>
      </c>
      <c r="P19" t="s">
        <v>72</v>
      </c>
      <c r="Q19" t="s">
        <v>341</v>
      </c>
      <c r="R19" t="s">
        <v>25</v>
      </c>
      <c r="S19" t="s">
        <v>26</v>
      </c>
      <c r="T19" t="s">
        <v>27</v>
      </c>
      <c r="U19" t="s">
        <v>289</v>
      </c>
      <c r="V19" t="s">
        <v>29</v>
      </c>
    </row>
    <row r="20" spans="1:22" x14ac:dyDescent="0.25">
      <c r="A20" t="s">
        <v>78</v>
      </c>
      <c r="B20" t="s">
        <v>332</v>
      </c>
      <c r="C20" t="s">
        <v>312</v>
      </c>
      <c r="D20" t="s">
        <v>261</v>
      </c>
      <c r="E20" s="1">
        <v>29054</v>
      </c>
      <c r="F20" t="s">
        <v>19</v>
      </c>
      <c r="G20" t="s">
        <v>79</v>
      </c>
      <c r="H20" t="s">
        <v>370</v>
      </c>
      <c r="I20" t="s">
        <v>342</v>
      </c>
      <c r="J20">
        <v>6061</v>
      </c>
      <c r="L20" t="s">
        <v>21</v>
      </c>
      <c r="M20" s="1">
        <v>43351</v>
      </c>
      <c r="O20" t="s">
        <v>75</v>
      </c>
      <c r="P20" t="s">
        <v>72</v>
      </c>
      <c r="Q20" t="s">
        <v>341</v>
      </c>
      <c r="R20" t="s">
        <v>25</v>
      </c>
      <c r="S20" t="s">
        <v>26</v>
      </c>
      <c r="T20" t="s">
        <v>27</v>
      </c>
      <c r="U20" t="s">
        <v>289</v>
      </c>
      <c r="V20" t="s">
        <v>29</v>
      </c>
    </row>
    <row r="21" spans="1:22" x14ac:dyDescent="0.25">
      <c r="A21" t="s">
        <v>80</v>
      </c>
      <c r="B21" t="s">
        <v>333</v>
      </c>
      <c r="C21" t="s">
        <v>313</v>
      </c>
      <c r="D21" t="s">
        <v>260</v>
      </c>
      <c r="E21" s="1">
        <v>34306</v>
      </c>
      <c r="F21" t="s">
        <v>31</v>
      </c>
      <c r="G21" t="s">
        <v>81</v>
      </c>
      <c r="H21" t="s">
        <v>371</v>
      </c>
      <c r="I21" t="s">
        <v>372</v>
      </c>
      <c r="J21">
        <v>6065</v>
      </c>
      <c r="L21" t="s">
        <v>21</v>
      </c>
      <c r="M21" s="1">
        <v>43309</v>
      </c>
      <c r="O21" t="s">
        <v>75</v>
      </c>
      <c r="P21" t="s">
        <v>72</v>
      </c>
      <c r="Q21" t="s">
        <v>341</v>
      </c>
      <c r="R21" t="s">
        <v>25</v>
      </c>
      <c r="S21" t="s">
        <v>26</v>
      </c>
      <c r="T21" t="s">
        <v>27</v>
      </c>
      <c r="U21" t="s">
        <v>289</v>
      </c>
      <c r="V21" t="s">
        <v>29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selection activeCell="B25" sqref="B25"/>
    </sheetView>
  </sheetViews>
  <sheetFormatPr defaultRowHeight="15" x14ac:dyDescent="0.25"/>
  <cols>
    <col min="2" max="2" width="11.140625" bestFit="1" customWidth="1"/>
    <col min="3" max="3" width="17.28515625" bestFit="1" customWidth="1"/>
    <col min="6" max="6" width="14.7109375" bestFit="1" customWidth="1"/>
    <col min="7" max="7" width="13.85546875" bestFit="1" customWidth="1"/>
    <col min="8" max="8" width="15.5703125" bestFit="1" customWidth="1"/>
  </cols>
  <sheetData>
    <row r="1" spans="1:9" x14ac:dyDescent="0.25">
      <c r="A1" t="s">
        <v>0</v>
      </c>
      <c r="B1" t="s">
        <v>82</v>
      </c>
      <c r="C1" t="s">
        <v>245</v>
      </c>
      <c r="D1" t="s">
        <v>246</v>
      </c>
      <c r="E1" t="s">
        <v>247</v>
      </c>
      <c r="F1" t="s">
        <v>83</v>
      </c>
      <c r="G1" t="s">
        <v>84</v>
      </c>
      <c r="H1" t="s">
        <v>85</v>
      </c>
      <c r="I1" t="s">
        <v>86</v>
      </c>
    </row>
    <row r="2" spans="1:9" x14ac:dyDescent="0.25">
      <c r="A2" t="s">
        <v>18</v>
      </c>
      <c r="B2" t="s">
        <v>87</v>
      </c>
      <c r="C2">
        <v>100</v>
      </c>
      <c r="H2" t="s">
        <v>88</v>
      </c>
    </row>
    <row r="3" spans="1:9" x14ac:dyDescent="0.25">
      <c r="A3" t="s">
        <v>30</v>
      </c>
      <c r="B3" t="s">
        <v>87</v>
      </c>
      <c r="C3">
        <v>45</v>
      </c>
      <c r="H3" t="s">
        <v>88</v>
      </c>
    </row>
    <row r="4" spans="1:9" x14ac:dyDescent="0.25">
      <c r="A4" t="s">
        <v>34</v>
      </c>
      <c r="B4" t="s">
        <v>87</v>
      </c>
      <c r="C4">
        <v>76</v>
      </c>
      <c r="H4" t="s">
        <v>88</v>
      </c>
    </row>
    <row r="5" spans="1:9" x14ac:dyDescent="0.25">
      <c r="A5" t="s">
        <v>38</v>
      </c>
      <c r="B5" t="s">
        <v>87</v>
      </c>
      <c r="C5">
        <v>1</v>
      </c>
      <c r="H5" t="s">
        <v>88</v>
      </c>
    </row>
    <row r="6" spans="1:9" x14ac:dyDescent="0.25">
      <c r="A6" t="s">
        <v>41</v>
      </c>
      <c r="B6" t="s">
        <v>87</v>
      </c>
      <c r="C6">
        <v>5</v>
      </c>
      <c r="H6" t="s">
        <v>88</v>
      </c>
    </row>
    <row r="7" spans="1:9" x14ac:dyDescent="0.25">
      <c r="A7" t="s">
        <v>44</v>
      </c>
      <c r="B7" t="s">
        <v>87</v>
      </c>
      <c r="C7">
        <v>4</v>
      </c>
      <c r="H7" t="s">
        <v>88</v>
      </c>
    </row>
    <row r="8" spans="1:9" x14ac:dyDescent="0.25">
      <c r="A8" t="s">
        <v>47</v>
      </c>
      <c r="B8" t="s">
        <v>87</v>
      </c>
      <c r="C8">
        <v>0</v>
      </c>
      <c r="H8" t="s">
        <v>88</v>
      </c>
    </row>
    <row r="9" spans="1:9" x14ac:dyDescent="0.25">
      <c r="A9" t="s">
        <v>51</v>
      </c>
      <c r="B9" t="s">
        <v>87</v>
      </c>
      <c r="C9">
        <v>36</v>
      </c>
      <c r="H9" t="s">
        <v>88</v>
      </c>
    </row>
    <row r="10" spans="1:9" x14ac:dyDescent="0.25">
      <c r="A10" t="s">
        <v>54</v>
      </c>
      <c r="B10" t="s">
        <v>87</v>
      </c>
      <c r="C10">
        <v>51</v>
      </c>
      <c r="H10" t="s">
        <v>88</v>
      </c>
    </row>
    <row r="11" spans="1:9" x14ac:dyDescent="0.25">
      <c r="A11" t="s">
        <v>56</v>
      </c>
      <c r="B11" t="s">
        <v>87</v>
      </c>
      <c r="C11">
        <v>19</v>
      </c>
      <c r="H11" t="s">
        <v>88</v>
      </c>
    </row>
    <row r="12" spans="1:9" x14ac:dyDescent="0.25">
      <c r="A12" t="s">
        <v>59</v>
      </c>
      <c r="B12" t="s">
        <v>87</v>
      </c>
      <c r="C12">
        <v>18</v>
      </c>
      <c r="H12" t="s">
        <v>88</v>
      </c>
    </row>
    <row r="13" spans="1:9" x14ac:dyDescent="0.25">
      <c r="A13" t="s">
        <v>61</v>
      </c>
      <c r="B13" t="s">
        <v>87</v>
      </c>
      <c r="C13">
        <v>22</v>
      </c>
      <c r="H13" t="s">
        <v>88</v>
      </c>
    </row>
    <row r="14" spans="1:9" x14ac:dyDescent="0.25">
      <c r="A14" t="s">
        <v>63</v>
      </c>
      <c r="B14" t="s">
        <v>87</v>
      </c>
      <c r="C14">
        <v>17</v>
      </c>
      <c r="H14" t="s">
        <v>88</v>
      </c>
    </row>
    <row r="15" spans="1:9" x14ac:dyDescent="0.25">
      <c r="A15" t="s">
        <v>65</v>
      </c>
      <c r="B15" t="s">
        <v>87</v>
      </c>
      <c r="C15">
        <v>13</v>
      </c>
      <c r="H15" t="s">
        <v>88</v>
      </c>
    </row>
    <row r="16" spans="1:9" x14ac:dyDescent="0.25">
      <c r="A16" t="s">
        <v>67</v>
      </c>
      <c r="B16" t="s">
        <v>87</v>
      </c>
      <c r="C16">
        <v>23</v>
      </c>
      <c r="H16" t="s">
        <v>88</v>
      </c>
    </row>
    <row r="17" spans="1:8" x14ac:dyDescent="0.25">
      <c r="A17" t="s">
        <v>69</v>
      </c>
      <c r="B17" t="s">
        <v>87</v>
      </c>
      <c r="C17">
        <v>0</v>
      </c>
      <c r="H17" t="s">
        <v>88</v>
      </c>
    </row>
    <row r="18" spans="1:8" x14ac:dyDescent="0.25">
      <c r="A18" t="s">
        <v>73</v>
      </c>
      <c r="B18" t="s">
        <v>87</v>
      </c>
      <c r="C18">
        <v>5</v>
      </c>
      <c r="H18" t="s">
        <v>88</v>
      </c>
    </row>
    <row r="19" spans="1:8" x14ac:dyDescent="0.25">
      <c r="A19" t="s">
        <v>76</v>
      </c>
      <c r="B19" t="s">
        <v>87</v>
      </c>
      <c r="C19">
        <v>7</v>
      </c>
      <c r="H19" t="s">
        <v>88</v>
      </c>
    </row>
    <row r="20" spans="1:8" x14ac:dyDescent="0.25">
      <c r="A20" t="s">
        <v>78</v>
      </c>
      <c r="B20" t="s">
        <v>87</v>
      </c>
      <c r="C20">
        <v>3</v>
      </c>
      <c r="H20" t="s">
        <v>88</v>
      </c>
    </row>
    <row r="21" spans="1:8" x14ac:dyDescent="0.25">
      <c r="A21" t="s">
        <v>80</v>
      </c>
      <c r="B21" t="s">
        <v>87</v>
      </c>
      <c r="C21">
        <v>2</v>
      </c>
      <c r="H21" t="s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workbookViewId="0">
      <selection activeCell="P13" sqref="P13"/>
    </sheetView>
  </sheetViews>
  <sheetFormatPr defaultRowHeight="15" x14ac:dyDescent="0.25"/>
  <cols>
    <col min="13" max="13" width="11.7109375" bestFit="1" customWidth="1"/>
    <col min="14" max="14" width="11.85546875" bestFit="1" customWidth="1"/>
  </cols>
  <sheetData>
    <row r="1" spans="1:14" x14ac:dyDescent="0.25">
      <c r="A1" t="s">
        <v>0</v>
      </c>
      <c r="B1" t="s">
        <v>89</v>
      </c>
      <c r="C1" t="s">
        <v>90</v>
      </c>
      <c r="D1" t="s">
        <v>91</v>
      </c>
      <c r="E1" t="s">
        <v>267</v>
      </c>
      <c r="F1" t="s">
        <v>268</v>
      </c>
      <c r="G1" t="s">
        <v>270</v>
      </c>
      <c r="H1" t="s">
        <v>92</v>
      </c>
      <c r="I1" t="s">
        <v>93</v>
      </c>
      <c r="J1" t="s">
        <v>94</v>
      </c>
      <c r="K1" t="s">
        <v>95</v>
      </c>
      <c r="L1" t="s">
        <v>266</v>
      </c>
      <c r="M1" t="s">
        <v>269</v>
      </c>
      <c r="N1" t="s">
        <v>96</v>
      </c>
    </row>
    <row r="2" spans="1:14" x14ac:dyDescent="0.25">
      <c r="A2" t="s">
        <v>18</v>
      </c>
      <c r="B2">
        <v>161780</v>
      </c>
      <c r="D2">
        <v>15000</v>
      </c>
      <c r="I2">
        <v>20</v>
      </c>
      <c r="J2" t="s">
        <v>98</v>
      </c>
      <c r="K2" t="s">
        <v>99</v>
      </c>
      <c r="L2">
        <v>166780</v>
      </c>
      <c r="N2" s="2">
        <f>L2*(I2/100)+D2+L2+M2</f>
        <v>215136</v>
      </c>
    </row>
    <row r="3" spans="1:14" x14ac:dyDescent="0.25">
      <c r="A3" t="s">
        <v>30</v>
      </c>
      <c r="B3">
        <v>74149</v>
      </c>
      <c r="C3">
        <v>1</v>
      </c>
      <c r="H3" t="s">
        <v>97</v>
      </c>
      <c r="I3">
        <v>12</v>
      </c>
      <c r="J3" t="s">
        <v>100</v>
      </c>
      <c r="K3" t="s">
        <v>99</v>
      </c>
      <c r="L3">
        <v>79149</v>
      </c>
      <c r="N3" s="2">
        <f t="shared" ref="N3:N21" si="0">L3*(I3/100)+D3+L3+M3</f>
        <v>88646.88</v>
      </c>
    </row>
    <row r="4" spans="1:14" x14ac:dyDescent="0.25">
      <c r="A4" t="s">
        <v>34</v>
      </c>
      <c r="B4">
        <v>89628</v>
      </c>
      <c r="D4">
        <v>5000</v>
      </c>
      <c r="I4">
        <v>15</v>
      </c>
      <c r="J4" t="s">
        <v>98</v>
      </c>
      <c r="K4" t="s">
        <v>99</v>
      </c>
      <c r="L4">
        <v>134628</v>
      </c>
      <c r="N4" s="2">
        <f t="shared" si="0"/>
        <v>159822.20000000001</v>
      </c>
    </row>
    <row r="5" spans="1:14" x14ac:dyDescent="0.25">
      <c r="A5" t="s">
        <v>38</v>
      </c>
      <c r="B5">
        <v>141787</v>
      </c>
      <c r="C5">
        <v>5</v>
      </c>
      <c r="H5" t="s">
        <v>97</v>
      </c>
      <c r="I5">
        <v>12</v>
      </c>
      <c r="J5" t="s">
        <v>100</v>
      </c>
      <c r="K5" t="s">
        <v>99</v>
      </c>
      <c r="L5">
        <v>64678</v>
      </c>
      <c r="N5" s="2">
        <f t="shared" si="0"/>
        <v>72439.360000000001</v>
      </c>
    </row>
    <row r="6" spans="1:14" x14ac:dyDescent="0.25">
      <c r="A6" t="s">
        <v>41</v>
      </c>
      <c r="B6">
        <v>131471</v>
      </c>
      <c r="C6">
        <v>5</v>
      </c>
      <c r="H6" t="s">
        <v>97</v>
      </c>
      <c r="I6">
        <v>12</v>
      </c>
      <c r="J6" t="s">
        <v>100</v>
      </c>
      <c r="K6" t="s">
        <v>99</v>
      </c>
      <c r="L6">
        <v>63647</v>
      </c>
      <c r="N6" s="2">
        <f t="shared" si="0"/>
        <v>71284.639999999999</v>
      </c>
    </row>
    <row r="7" spans="1:14" x14ac:dyDescent="0.25">
      <c r="A7" t="s">
        <v>44</v>
      </c>
      <c r="B7">
        <v>95024</v>
      </c>
      <c r="C7">
        <v>5</v>
      </c>
      <c r="H7" t="s">
        <v>97</v>
      </c>
      <c r="I7">
        <v>12</v>
      </c>
      <c r="J7" t="s">
        <v>100</v>
      </c>
      <c r="K7" t="s">
        <v>99</v>
      </c>
      <c r="L7">
        <v>60024</v>
      </c>
      <c r="N7" s="2">
        <f t="shared" si="0"/>
        <v>67226.880000000005</v>
      </c>
    </row>
    <row r="8" spans="1:14" x14ac:dyDescent="0.25">
      <c r="A8" t="s">
        <v>47</v>
      </c>
      <c r="B8">
        <v>163774</v>
      </c>
      <c r="D8">
        <v>5000</v>
      </c>
      <c r="E8" t="s">
        <v>98</v>
      </c>
      <c r="F8" s="3">
        <v>0.15</v>
      </c>
      <c r="G8" s="3">
        <f>AVERAGE(G9:G10)</f>
        <v>0.78333333333333344</v>
      </c>
      <c r="I8">
        <v>15</v>
      </c>
      <c r="J8" t="s">
        <v>100</v>
      </c>
      <c r="K8" t="s">
        <v>99</v>
      </c>
      <c r="L8">
        <v>168774</v>
      </c>
      <c r="M8" s="2">
        <f>F8*L8/12*G8</f>
        <v>1652.5787499999999</v>
      </c>
      <c r="N8" s="2">
        <f t="shared" si="0"/>
        <v>200742.67874999999</v>
      </c>
    </row>
    <row r="9" spans="1:14" x14ac:dyDescent="0.25">
      <c r="A9" t="s">
        <v>51</v>
      </c>
      <c r="B9">
        <v>121433</v>
      </c>
      <c r="C9">
        <v>3</v>
      </c>
      <c r="D9">
        <v>300</v>
      </c>
      <c r="E9" t="s">
        <v>98</v>
      </c>
      <c r="F9" s="3">
        <v>0.1</v>
      </c>
      <c r="G9" s="3">
        <f>AVERAGE(G11:G13)</f>
        <v>0.81666666666666676</v>
      </c>
      <c r="H9" t="s">
        <v>97</v>
      </c>
      <c r="I9">
        <v>12</v>
      </c>
      <c r="J9" t="s">
        <v>100</v>
      </c>
      <c r="K9" t="s">
        <v>99</v>
      </c>
      <c r="L9">
        <v>126433</v>
      </c>
      <c r="M9" s="2">
        <f t="shared" ref="M9:M16" si="1">F9*L9/12*G9</f>
        <v>860.44680555555567</v>
      </c>
      <c r="N9" s="2">
        <f t="shared" si="0"/>
        <v>142765.40680555554</v>
      </c>
    </row>
    <row r="10" spans="1:14" x14ac:dyDescent="0.25">
      <c r="A10" t="s">
        <v>54</v>
      </c>
      <c r="B10">
        <v>123921</v>
      </c>
      <c r="C10">
        <v>3</v>
      </c>
      <c r="D10">
        <v>300</v>
      </c>
      <c r="E10" t="s">
        <v>98</v>
      </c>
      <c r="F10" s="3">
        <v>0.1</v>
      </c>
      <c r="G10" s="3">
        <f>AVERAGE(G14:G16)</f>
        <v>0.75</v>
      </c>
      <c r="H10" t="s">
        <v>97</v>
      </c>
      <c r="I10">
        <v>12</v>
      </c>
      <c r="J10" t="s">
        <v>100</v>
      </c>
      <c r="K10" t="s">
        <v>99</v>
      </c>
      <c r="L10">
        <v>128921</v>
      </c>
      <c r="M10" s="2">
        <f t="shared" si="1"/>
        <v>805.75625000000002</v>
      </c>
      <c r="N10" s="2">
        <f t="shared" si="0"/>
        <v>145497.27625</v>
      </c>
    </row>
    <row r="11" spans="1:14" x14ac:dyDescent="0.25">
      <c r="A11" t="s">
        <v>56</v>
      </c>
      <c r="B11">
        <v>87870</v>
      </c>
      <c r="C11">
        <v>3</v>
      </c>
      <c r="D11">
        <v>300</v>
      </c>
      <c r="E11" t="s">
        <v>98</v>
      </c>
      <c r="F11" s="3">
        <v>0.1</v>
      </c>
      <c r="G11" s="3">
        <v>0.65</v>
      </c>
      <c r="H11" t="s">
        <v>97</v>
      </c>
      <c r="I11">
        <v>12</v>
      </c>
      <c r="J11" t="s">
        <v>100</v>
      </c>
      <c r="K11" t="s">
        <v>99</v>
      </c>
      <c r="L11">
        <v>92870</v>
      </c>
      <c r="M11" s="2">
        <f t="shared" si="1"/>
        <v>503.04583333333335</v>
      </c>
      <c r="N11" s="2">
        <f t="shared" si="0"/>
        <v>104817.44583333333</v>
      </c>
    </row>
    <row r="12" spans="1:14" x14ac:dyDescent="0.25">
      <c r="A12" t="s">
        <v>59</v>
      </c>
      <c r="B12">
        <v>114495</v>
      </c>
      <c r="C12">
        <v>3</v>
      </c>
      <c r="D12">
        <v>300</v>
      </c>
      <c r="E12" t="s">
        <v>98</v>
      </c>
      <c r="F12" s="3">
        <v>0.1</v>
      </c>
      <c r="G12" s="3">
        <v>1</v>
      </c>
      <c r="H12" t="s">
        <v>97</v>
      </c>
      <c r="I12">
        <v>12</v>
      </c>
      <c r="J12" t="s">
        <v>100</v>
      </c>
      <c r="K12" t="s">
        <v>99</v>
      </c>
      <c r="L12">
        <v>92495</v>
      </c>
      <c r="M12" s="2">
        <f t="shared" si="1"/>
        <v>770.79166666666663</v>
      </c>
      <c r="N12" s="2">
        <f t="shared" si="0"/>
        <v>104665.19166666667</v>
      </c>
    </row>
    <row r="13" spans="1:14" x14ac:dyDescent="0.25">
      <c r="A13" t="s">
        <v>61</v>
      </c>
      <c r="B13">
        <v>78819</v>
      </c>
      <c r="C13">
        <v>3</v>
      </c>
      <c r="D13">
        <v>300</v>
      </c>
      <c r="E13" t="s">
        <v>98</v>
      </c>
      <c r="F13" s="3">
        <v>0.1</v>
      </c>
      <c r="G13" s="3">
        <v>0.8</v>
      </c>
      <c r="H13" t="s">
        <v>97</v>
      </c>
      <c r="I13">
        <v>12</v>
      </c>
      <c r="J13" t="s">
        <v>100</v>
      </c>
      <c r="K13" t="s">
        <v>99</v>
      </c>
      <c r="L13">
        <v>63819</v>
      </c>
      <c r="M13" s="2">
        <f t="shared" si="1"/>
        <v>425.46000000000004</v>
      </c>
      <c r="N13" s="2">
        <f t="shared" si="0"/>
        <v>72202.740000000005</v>
      </c>
    </row>
    <row r="14" spans="1:14" x14ac:dyDescent="0.25">
      <c r="A14" t="s">
        <v>63</v>
      </c>
      <c r="B14">
        <v>107039</v>
      </c>
      <c r="C14">
        <v>3</v>
      </c>
      <c r="D14">
        <v>300</v>
      </c>
      <c r="E14" t="s">
        <v>98</v>
      </c>
      <c r="F14" s="3">
        <v>0.1</v>
      </c>
      <c r="G14" s="3">
        <v>0.75</v>
      </c>
      <c r="H14" t="s">
        <v>97</v>
      </c>
      <c r="I14">
        <v>12</v>
      </c>
      <c r="J14" t="s">
        <v>100</v>
      </c>
      <c r="K14" t="s">
        <v>99</v>
      </c>
      <c r="L14">
        <v>62039</v>
      </c>
      <c r="M14" s="2">
        <f t="shared" si="1"/>
        <v>387.74374999999998</v>
      </c>
      <c r="N14" s="2">
        <f t="shared" si="0"/>
        <v>70171.423749999987</v>
      </c>
    </row>
    <row r="15" spans="1:14" x14ac:dyDescent="0.25">
      <c r="A15" t="s">
        <v>65</v>
      </c>
      <c r="B15">
        <v>60198</v>
      </c>
      <c r="C15">
        <v>3</v>
      </c>
      <c r="D15">
        <v>300</v>
      </c>
      <c r="E15" t="s">
        <v>98</v>
      </c>
      <c r="F15" s="3">
        <v>0.1</v>
      </c>
      <c r="G15" s="3">
        <v>1</v>
      </c>
      <c r="H15" t="s">
        <v>97</v>
      </c>
      <c r="I15">
        <v>12</v>
      </c>
      <c r="J15" t="s">
        <v>100</v>
      </c>
      <c r="K15" t="s">
        <v>99</v>
      </c>
      <c r="L15">
        <v>65198</v>
      </c>
      <c r="M15" s="2">
        <f t="shared" si="1"/>
        <v>543.31666666666672</v>
      </c>
      <c r="N15" s="2">
        <f t="shared" si="0"/>
        <v>73865.07666666666</v>
      </c>
    </row>
    <row r="16" spans="1:14" x14ac:dyDescent="0.25">
      <c r="A16" t="s">
        <v>67</v>
      </c>
      <c r="B16">
        <v>153999</v>
      </c>
      <c r="C16">
        <v>3</v>
      </c>
      <c r="D16">
        <v>300</v>
      </c>
      <c r="E16" t="s">
        <v>98</v>
      </c>
      <c r="F16" s="3">
        <v>0.1</v>
      </c>
      <c r="G16" s="3">
        <v>0.5</v>
      </c>
      <c r="H16" t="s">
        <v>97</v>
      </c>
      <c r="I16">
        <v>12</v>
      </c>
      <c r="J16" t="s">
        <v>100</v>
      </c>
      <c r="K16" t="s">
        <v>99</v>
      </c>
      <c r="L16">
        <v>65999</v>
      </c>
      <c r="M16" s="2">
        <f t="shared" si="1"/>
        <v>274.99583333333334</v>
      </c>
      <c r="N16" s="2">
        <f t="shared" si="0"/>
        <v>74493.875833333339</v>
      </c>
    </row>
    <row r="17" spans="1:14" x14ac:dyDescent="0.25">
      <c r="A17" t="s">
        <v>69</v>
      </c>
      <c r="B17">
        <v>128339</v>
      </c>
      <c r="D17">
        <v>5000</v>
      </c>
      <c r="I17">
        <v>15</v>
      </c>
      <c r="J17" t="s">
        <v>98</v>
      </c>
      <c r="K17" t="s">
        <v>99</v>
      </c>
      <c r="L17">
        <v>133339</v>
      </c>
      <c r="N17" s="2">
        <f t="shared" si="0"/>
        <v>158339.85</v>
      </c>
    </row>
    <row r="18" spans="1:14" x14ac:dyDescent="0.25">
      <c r="A18" t="s">
        <v>73</v>
      </c>
      <c r="B18">
        <v>104608</v>
      </c>
      <c r="C18">
        <v>5</v>
      </c>
      <c r="H18" t="s">
        <v>97</v>
      </c>
      <c r="I18">
        <v>12</v>
      </c>
      <c r="J18" t="s">
        <v>100</v>
      </c>
      <c r="K18" t="s">
        <v>99</v>
      </c>
      <c r="L18">
        <v>79608</v>
      </c>
      <c r="N18" s="2">
        <f t="shared" si="0"/>
        <v>89160.959999999992</v>
      </c>
    </row>
    <row r="19" spans="1:14" x14ac:dyDescent="0.25">
      <c r="A19" t="s">
        <v>76</v>
      </c>
      <c r="B19">
        <v>88902</v>
      </c>
      <c r="C19">
        <v>5</v>
      </c>
      <c r="H19" t="s">
        <v>97</v>
      </c>
      <c r="I19">
        <v>12</v>
      </c>
      <c r="J19" t="s">
        <v>100</v>
      </c>
      <c r="K19" t="s">
        <v>99</v>
      </c>
      <c r="L19">
        <v>73902</v>
      </c>
      <c r="N19" s="2">
        <f t="shared" si="0"/>
        <v>82770.240000000005</v>
      </c>
    </row>
    <row r="20" spans="1:14" x14ac:dyDescent="0.25">
      <c r="A20" t="s">
        <v>78</v>
      </c>
      <c r="B20">
        <v>177257</v>
      </c>
      <c r="C20">
        <v>5</v>
      </c>
      <c r="H20" t="s">
        <v>97</v>
      </c>
      <c r="I20">
        <v>12</v>
      </c>
      <c r="J20" t="s">
        <v>100</v>
      </c>
      <c r="K20" t="s">
        <v>99</v>
      </c>
      <c r="L20">
        <v>82257</v>
      </c>
      <c r="N20" s="2">
        <f t="shared" si="0"/>
        <v>92127.84</v>
      </c>
    </row>
    <row r="21" spans="1:14" x14ac:dyDescent="0.25">
      <c r="A21" t="s">
        <v>80</v>
      </c>
      <c r="B21">
        <v>151434</v>
      </c>
      <c r="C21">
        <v>5</v>
      </c>
      <c r="H21" t="s">
        <v>97</v>
      </c>
      <c r="I21">
        <v>12</v>
      </c>
      <c r="J21" t="s">
        <v>100</v>
      </c>
      <c r="K21" t="s">
        <v>99</v>
      </c>
      <c r="L21">
        <v>56434</v>
      </c>
      <c r="N21" s="2">
        <f t="shared" si="0"/>
        <v>63206.080000000002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selection activeCell="J18" sqref="J18"/>
    </sheetView>
  </sheetViews>
  <sheetFormatPr defaultRowHeight="15" x14ac:dyDescent="0.25"/>
  <cols>
    <col min="2" max="2" width="20.85546875" bestFit="1" customWidth="1"/>
    <col min="3" max="3" width="18" bestFit="1" customWidth="1"/>
    <col min="4" max="4" width="13.140625" bestFit="1" customWidth="1"/>
    <col min="5" max="5" width="11.5703125" bestFit="1" customWidth="1"/>
    <col min="6" max="6" width="15.140625" bestFit="1" customWidth="1"/>
    <col min="7" max="7" width="11" bestFit="1" customWidth="1"/>
    <col min="8" max="8" width="14" bestFit="1" customWidth="1"/>
  </cols>
  <sheetData>
    <row r="1" spans="1:9" x14ac:dyDescent="0.25">
      <c r="A1" t="s">
        <v>0</v>
      </c>
      <c r="B1" t="s">
        <v>101</v>
      </c>
      <c r="C1" t="s">
        <v>244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</row>
    <row r="2" spans="1:9" x14ac:dyDescent="0.25">
      <c r="A2" t="s">
        <v>18</v>
      </c>
      <c r="B2" t="s">
        <v>22</v>
      </c>
      <c r="C2" t="s">
        <v>240</v>
      </c>
      <c r="F2" s="1">
        <v>43691</v>
      </c>
      <c r="G2" s="1">
        <v>46137</v>
      </c>
      <c r="H2" t="s">
        <v>109</v>
      </c>
    </row>
    <row r="3" spans="1:9" x14ac:dyDescent="0.25">
      <c r="A3" t="s">
        <v>30</v>
      </c>
      <c r="B3" t="s">
        <v>33</v>
      </c>
      <c r="C3" t="s">
        <v>241</v>
      </c>
      <c r="F3" s="1">
        <v>46017</v>
      </c>
      <c r="G3" s="1"/>
      <c r="H3" t="s">
        <v>271</v>
      </c>
    </row>
    <row r="4" spans="1:9" x14ac:dyDescent="0.25">
      <c r="A4" t="s">
        <v>34</v>
      </c>
      <c r="B4" t="s">
        <v>36</v>
      </c>
      <c r="C4" t="s">
        <v>233</v>
      </c>
      <c r="F4" s="1">
        <v>42633</v>
      </c>
      <c r="G4" s="1">
        <v>46145</v>
      </c>
      <c r="H4" t="s">
        <v>109</v>
      </c>
    </row>
    <row r="5" spans="1:9" x14ac:dyDescent="0.25">
      <c r="A5" t="s">
        <v>38</v>
      </c>
      <c r="B5" t="s">
        <v>40</v>
      </c>
      <c r="C5" t="s">
        <v>239</v>
      </c>
      <c r="F5" s="1">
        <v>44709</v>
      </c>
      <c r="G5" s="1"/>
      <c r="H5" t="s">
        <v>272</v>
      </c>
    </row>
    <row r="6" spans="1:9" x14ac:dyDescent="0.25">
      <c r="A6" t="s">
        <v>41</v>
      </c>
      <c r="B6" t="s">
        <v>43</v>
      </c>
      <c r="C6" t="s">
        <v>239</v>
      </c>
      <c r="F6" s="1">
        <v>43143</v>
      </c>
      <c r="G6" s="1"/>
      <c r="H6" t="s">
        <v>273</v>
      </c>
    </row>
    <row r="7" spans="1:9" x14ac:dyDescent="0.25">
      <c r="A7" t="s">
        <v>44</v>
      </c>
      <c r="B7" t="s">
        <v>46</v>
      </c>
      <c r="C7" t="s">
        <v>239</v>
      </c>
      <c r="E7" t="s">
        <v>108</v>
      </c>
      <c r="F7" s="1">
        <v>45683</v>
      </c>
      <c r="G7" s="1"/>
      <c r="H7" t="s">
        <v>274</v>
      </c>
    </row>
    <row r="8" spans="1:9" x14ac:dyDescent="0.25">
      <c r="A8" t="s">
        <v>47</v>
      </c>
      <c r="B8" t="s">
        <v>49</v>
      </c>
      <c r="C8" t="s">
        <v>233</v>
      </c>
      <c r="F8" s="1">
        <v>43721</v>
      </c>
      <c r="G8" s="1">
        <v>46274</v>
      </c>
      <c r="H8" t="s">
        <v>109</v>
      </c>
    </row>
    <row r="9" spans="1:9" x14ac:dyDescent="0.25">
      <c r="A9" t="s">
        <v>51</v>
      </c>
      <c r="B9" t="s">
        <v>53</v>
      </c>
      <c r="C9" t="s">
        <v>236</v>
      </c>
      <c r="F9" s="1">
        <v>43601</v>
      </c>
      <c r="G9" s="1">
        <v>46227</v>
      </c>
      <c r="H9" t="s">
        <v>109</v>
      </c>
    </row>
    <row r="10" spans="1:9" x14ac:dyDescent="0.25">
      <c r="A10" t="s">
        <v>54</v>
      </c>
      <c r="B10" t="s">
        <v>53</v>
      </c>
      <c r="C10" t="s">
        <v>236</v>
      </c>
      <c r="F10" s="1">
        <v>44142</v>
      </c>
      <c r="G10" s="1">
        <v>46171</v>
      </c>
      <c r="H10" t="s">
        <v>109</v>
      </c>
    </row>
    <row r="11" spans="1:9" x14ac:dyDescent="0.25">
      <c r="A11" t="s">
        <v>56</v>
      </c>
      <c r="B11" t="s">
        <v>58</v>
      </c>
      <c r="C11" t="s">
        <v>237</v>
      </c>
      <c r="F11" s="1">
        <v>43376</v>
      </c>
      <c r="G11" s="1">
        <v>46161</v>
      </c>
      <c r="H11" t="s">
        <v>109</v>
      </c>
    </row>
    <row r="12" spans="1:9" x14ac:dyDescent="0.25">
      <c r="A12" t="s">
        <v>59</v>
      </c>
      <c r="B12" t="s">
        <v>58</v>
      </c>
      <c r="C12" t="s">
        <v>238</v>
      </c>
      <c r="F12" s="1">
        <v>44029</v>
      </c>
      <c r="G12" s="1">
        <v>46288</v>
      </c>
      <c r="H12" t="s">
        <v>109</v>
      </c>
    </row>
    <row r="13" spans="1:9" x14ac:dyDescent="0.25">
      <c r="A13" t="s">
        <v>61</v>
      </c>
      <c r="B13" t="s">
        <v>58</v>
      </c>
      <c r="C13" t="s">
        <v>238</v>
      </c>
      <c r="F13" s="1">
        <v>43592</v>
      </c>
      <c r="G13" s="1">
        <v>46114</v>
      </c>
      <c r="H13" t="s">
        <v>109</v>
      </c>
    </row>
    <row r="14" spans="1:9" x14ac:dyDescent="0.25">
      <c r="A14" t="s">
        <v>63</v>
      </c>
      <c r="B14" t="s">
        <v>58</v>
      </c>
      <c r="C14" t="s">
        <v>238</v>
      </c>
      <c r="F14" s="1">
        <v>42473</v>
      </c>
      <c r="G14" s="1">
        <v>46189</v>
      </c>
      <c r="H14" t="s">
        <v>109</v>
      </c>
    </row>
    <row r="15" spans="1:9" x14ac:dyDescent="0.25">
      <c r="A15" t="s">
        <v>65</v>
      </c>
      <c r="B15" t="s">
        <v>58</v>
      </c>
      <c r="C15" t="s">
        <v>237</v>
      </c>
      <c r="F15" s="1">
        <v>42318</v>
      </c>
      <c r="G15" s="1">
        <v>46090</v>
      </c>
      <c r="H15" t="s">
        <v>109</v>
      </c>
    </row>
    <row r="16" spans="1:9" x14ac:dyDescent="0.25">
      <c r="A16" t="s">
        <v>67</v>
      </c>
      <c r="B16" t="s">
        <v>58</v>
      </c>
      <c r="C16" t="s">
        <v>237</v>
      </c>
      <c r="F16" s="1">
        <v>42551</v>
      </c>
      <c r="G16" s="1">
        <v>46013</v>
      </c>
      <c r="H16" t="s">
        <v>109</v>
      </c>
    </row>
    <row r="17" spans="1:8" x14ac:dyDescent="0.25">
      <c r="A17" t="s">
        <v>69</v>
      </c>
      <c r="B17" t="s">
        <v>71</v>
      </c>
      <c r="C17" t="s">
        <v>233</v>
      </c>
      <c r="E17" t="s">
        <v>243</v>
      </c>
      <c r="F17" s="1">
        <v>42837</v>
      </c>
      <c r="G17" s="1"/>
      <c r="H17" t="s">
        <v>275</v>
      </c>
    </row>
    <row r="18" spans="1:8" x14ac:dyDescent="0.25">
      <c r="A18" t="s">
        <v>73</v>
      </c>
      <c r="B18" t="s">
        <v>75</v>
      </c>
      <c r="C18" t="s">
        <v>234</v>
      </c>
      <c r="F18" s="1">
        <v>43912</v>
      </c>
      <c r="G18" s="1">
        <v>46143</v>
      </c>
      <c r="H18" t="s">
        <v>277</v>
      </c>
    </row>
    <row r="19" spans="1:8" x14ac:dyDescent="0.25">
      <c r="A19" t="s">
        <v>76</v>
      </c>
      <c r="B19" t="s">
        <v>75</v>
      </c>
      <c r="C19" t="s">
        <v>234</v>
      </c>
      <c r="F19" s="1">
        <v>43423</v>
      </c>
      <c r="G19" s="1">
        <v>46214</v>
      </c>
      <c r="H19" t="s">
        <v>276</v>
      </c>
    </row>
    <row r="20" spans="1:8" x14ac:dyDescent="0.25">
      <c r="A20" t="s">
        <v>78</v>
      </c>
      <c r="B20" t="s">
        <v>75</v>
      </c>
      <c r="C20" t="s">
        <v>235</v>
      </c>
      <c r="F20" s="1">
        <v>44020</v>
      </c>
      <c r="G20" s="1">
        <v>46095</v>
      </c>
      <c r="H20" t="s">
        <v>276</v>
      </c>
    </row>
    <row r="21" spans="1:8" x14ac:dyDescent="0.25">
      <c r="A21" t="s">
        <v>80</v>
      </c>
      <c r="B21" t="s">
        <v>75</v>
      </c>
      <c r="C21" t="s">
        <v>234</v>
      </c>
      <c r="F21" s="1">
        <v>43022</v>
      </c>
      <c r="G21" s="1">
        <v>46103</v>
      </c>
      <c r="H21" t="s">
        <v>276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workbookViewId="0">
      <selection activeCell="H29" sqref="H29"/>
    </sheetView>
  </sheetViews>
  <sheetFormatPr defaultRowHeight="15" x14ac:dyDescent="0.25"/>
  <cols>
    <col min="2" max="2" width="18" bestFit="1" customWidth="1"/>
    <col min="3" max="3" width="11.5703125" bestFit="1" customWidth="1"/>
    <col min="4" max="4" width="10" bestFit="1" customWidth="1"/>
    <col min="5" max="5" width="13" bestFit="1" customWidth="1"/>
    <col min="6" max="6" width="18.85546875" bestFit="1" customWidth="1"/>
    <col min="7" max="7" width="12.5703125" bestFit="1" customWidth="1"/>
    <col min="8" max="8" width="11" bestFit="1" customWidth="1"/>
    <col min="9" max="9" width="13.7109375" customWidth="1"/>
    <col min="10" max="10" width="13.140625" bestFit="1" customWidth="1"/>
    <col min="11" max="11" width="11" bestFit="1" customWidth="1"/>
    <col min="12" max="12" width="12" bestFit="1" customWidth="1"/>
  </cols>
  <sheetData>
    <row r="1" spans="1:12" x14ac:dyDescent="0.25">
      <c r="A1" t="s">
        <v>0</v>
      </c>
      <c r="B1" t="s">
        <v>101</v>
      </c>
      <c r="C1" t="s">
        <v>110</v>
      </c>
      <c r="D1" t="s">
        <v>111</v>
      </c>
      <c r="E1" t="s">
        <v>112</v>
      </c>
      <c r="F1" t="s">
        <v>113</v>
      </c>
      <c r="G1" t="s">
        <v>12</v>
      </c>
      <c r="H1" t="s">
        <v>13</v>
      </c>
      <c r="I1" t="s">
        <v>14</v>
      </c>
      <c r="J1" t="s">
        <v>278</v>
      </c>
      <c r="K1" t="s">
        <v>279</v>
      </c>
      <c r="L1" t="s">
        <v>115</v>
      </c>
    </row>
    <row r="2" spans="1:12" x14ac:dyDescent="0.25">
      <c r="A2" t="s">
        <v>18</v>
      </c>
      <c r="B2" t="s">
        <v>22</v>
      </c>
      <c r="C2" t="s">
        <v>240</v>
      </c>
      <c r="F2" t="s">
        <v>23</v>
      </c>
      <c r="G2" t="s">
        <v>24</v>
      </c>
      <c r="H2" t="s">
        <v>25</v>
      </c>
      <c r="I2" t="s">
        <v>26</v>
      </c>
      <c r="J2" s="1">
        <v>43620</v>
      </c>
      <c r="K2" s="4">
        <f ca="1">NOW()-J2</f>
        <v>2365.7166336805531</v>
      </c>
      <c r="L2">
        <v>4</v>
      </c>
    </row>
    <row r="3" spans="1:12" x14ac:dyDescent="0.25">
      <c r="A3" t="s">
        <v>30</v>
      </c>
      <c r="B3" t="s">
        <v>33</v>
      </c>
      <c r="C3" t="s">
        <v>241</v>
      </c>
      <c r="D3" t="s">
        <v>18</v>
      </c>
      <c r="E3" t="s">
        <v>265</v>
      </c>
      <c r="F3" t="s">
        <v>23</v>
      </c>
      <c r="G3" t="s">
        <v>24</v>
      </c>
      <c r="H3" t="s">
        <v>25</v>
      </c>
      <c r="I3" t="s">
        <v>26</v>
      </c>
      <c r="J3" s="1">
        <v>43556</v>
      </c>
      <c r="K3" s="4">
        <f t="shared" ref="K3:K21" ca="1" si="0">NOW()-J3</f>
        <v>2429.7166336805531</v>
      </c>
      <c r="L3">
        <v>0</v>
      </c>
    </row>
    <row r="4" spans="1:12" x14ac:dyDescent="0.25">
      <c r="A4" t="s">
        <v>34</v>
      </c>
      <c r="B4" t="s">
        <v>36</v>
      </c>
      <c r="C4" t="s">
        <v>233</v>
      </c>
      <c r="D4" t="s">
        <v>18</v>
      </c>
      <c r="E4" t="s">
        <v>265</v>
      </c>
      <c r="F4" t="s">
        <v>37</v>
      </c>
      <c r="G4" t="s">
        <v>24</v>
      </c>
      <c r="H4" t="s">
        <v>25</v>
      </c>
      <c r="I4" t="s">
        <v>26</v>
      </c>
      <c r="J4" s="1">
        <v>44912</v>
      </c>
      <c r="K4" s="4">
        <f t="shared" ca="1" si="0"/>
        <v>1073.7166336805531</v>
      </c>
      <c r="L4">
        <v>3</v>
      </c>
    </row>
    <row r="5" spans="1:12" x14ac:dyDescent="0.25">
      <c r="A5" t="s">
        <v>38</v>
      </c>
      <c r="B5" t="s">
        <v>40</v>
      </c>
      <c r="C5" t="s">
        <v>239</v>
      </c>
      <c r="D5" t="s">
        <v>34</v>
      </c>
      <c r="E5" t="s">
        <v>249</v>
      </c>
      <c r="F5" t="s">
        <v>37</v>
      </c>
      <c r="G5" t="s">
        <v>24</v>
      </c>
      <c r="H5" t="s">
        <v>25</v>
      </c>
      <c r="I5" t="s">
        <v>26</v>
      </c>
      <c r="J5" s="1">
        <v>43915</v>
      </c>
      <c r="K5" s="4">
        <f t="shared" ca="1" si="0"/>
        <v>2070.7166336805531</v>
      </c>
      <c r="L5">
        <v>1</v>
      </c>
    </row>
    <row r="6" spans="1:12" x14ac:dyDescent="0.25">
      <c r="A6" t="s">
        <v>41</v>
      </c>
      <c r="B6" t="s">
        <v>43</v>
      </c>
      <c r="C6" t="s">
        <v>239</v>
      </c>
      <c r="D6" t="s">
        <v>34</v>
      </c>
      <c r="E6" t="s">
        <v>249</v>
      </c>
      <c r="F6" t="s">
        <v>37</v>
      </c>
      <c r="G6" t="s">
        <v>24</v>
      </c>
      <c r="H6" t="s">
        <v>25</v>
      </c>
      <c r="I6" t="s">
        <v>26</v>
      </c>
      <c r="J6" s="1">
        <v>44823</v>
      </c>
      <c r="K6" s="4">
        <f t="shared" ca="1" si="0"/>
        <v>1162.7166336805531</v>
      </c>
      <c r="L6">
        <v>0</v>
      </c>
    </row>
    <row r="7" spans="1:12" x14ac:dyDescent="0.25">
      <c r="A7" t="s">
        <v>44</v>
      </c>
      <c r="B7" t="s">
        <v>46</v>
      </c>
      <c r="C7" t="s">
        <v>239</v>
      </c>
      <c r="D7" t="s">
        <v>34</v>
      </c>
      <c r="E7" t="s">
        <v>249</v>
      </c>
      <c r="F7" t="s">
        <v>37</v>
      </c>
      <c r="G7" t="s">
        <v>24</v>
      </c>
      <c r="H7" t="s">
        <v>25</v>
      </c>
      <c r="I7" t="s">
        <v>26</v>
      </c>
      <c r="J7" s="1">
        <v>44514</v>
      </c>
      <c r="K7" s="4">
        <f t="shared" ca="1" si="0"/>
        <v>1471.7166336805531</v>
      </c>
      <c r="L7">
        <v>0</v>
      </c>
    </row>
    <row r="8" spans="1:12" x14ac:dyDescent="0.25">
      <c r="A8" t="s">
        <v>47</v>
      </c>
      <c r="B8" t="s">
        <v>49</v>
      </c>
      <c r="C8" t="s">
        <v>233</v>
      </c>
      <c r="D8" t="s">
        <v>18</v>
      </c>
      <c r="E8" t="s">
        <v>265</v>
      </c>
      <c r="F8" t="s">
        <v>50</v>
      </c>
      <c r="G8" t="s">
        <v>24</v>
      </c>
      <c r="H8" t="s">
        <v>25</v>
      </c>
      <c r="I8" t="s">
        <v>26</v>
      </c>
      <c r="J8" s="1">
        <v>43126</v>
      </c>
      <c r="K8" s="4">
        <f t="shared" ca="1" si="0"/>
        <v>2859.7166336805531</v>
      </c>
      <c r="L8">
        <v>4</v>
      </c>
    </row>
    <row r="9" spans="1:12" x14ac:dyDescent="0.25">
      <c r="A9" t="s">
        <v>51</v>
      </c>
      <c r="B9" t="s">
        <v>53</v>
      </c>
      <c r="C9" t="s">
        <v>236</v>
      </c>
      <c r="D9" t="s">
        <v>47</v>
      </c>
      <c r="E9" t="s">
        <v>252</v>
      </c>
      <c r="F9" t="s">
        <v>50</v>
      </c>
      <c r="G9" t="s">
        <v>242</v>
      </c>
      <c r="H9" t="s">
        <v>25</v>
      </c>
      <c r="I9" t="s">
        <v>26</v>
      </c>
      <c r="J9" s="1">
        <v>44835</v>
      </c>
      <c r="K9" s="4">
        <f t="shared" ca="1" si="0"/>
        <v>1150.7166336805531</v>
      </c>
      <c r="L9">
        <v>5</v>
      </c>
    </row>
    <row r="10" spans="1:12" x14ac:dyDescent="0.25">
      <c r="A10" t="s">
        <v>54</v>
      </c>
      <c r="B10" t="s">
        <v>53</v>
      </c>
      <c r="C10" t="s">
        <v>236</v>
      </c>
      <c r="D10" t="s">
        <v>47</v>
      </c>
      <c r="E10" t="s">
        <v>252</v>
      </c>
      <c r="F10" t="s">
        <v>50</v>
      </c>
      <c r="G10" t="s">
        <v>24</v>
      </c>
      <c r="H10" t="s">
        <v>25</v>
      </c>
      <c r="I10" t="s">
        <v>26</v>
      </c>
      <c r="J10" s="1">
        <v>44395</v>
      </c>
      <c r="K10" s="4">
        <f t="shared" ca="1" si="0"/>
        <v>1590.7166336805531</v>
      </c>
      <c r="L10">
        <v>3</v>
      </c>
    </row>
    <row r="11" spans="1:12" x14ac:dyDescent="0.25">
      <c r="A11" t="s">
        <v>56</v>
      </c>
      <c r="B11" t="s">
        <v>58</v>
      </c>
      <c r="C11" t="s">
        <v>237</v>
      </c>
      <c r="D11" t="s">
        <v>51</v>
      </c>
      <c r="E11" t="s">
        <v>253</v>
      </c>
      <c r="F11" t="s">
        <v>50</v>
      </c>
      <c r="G11" t="s">
        <v>242</v>
      </c>
      <c r="H11" t="s">
        <v>25</v>
      </c>
      <c r="I11" t="s">
        <v>26</v>
      </c>
      <c r="J11" s="1">
        <v>44038</v>
      </c>
      <c r="K11" s="4">
        <f t="shared" ca="1" si="0"/>
        <v>1947.7166336805531</v>
      </c>
      <c r="L11">
        <v>2</v>
      </c>
    </row>
    <row r="12" spans="1:12" x14ac:dyDescent="0.25">
      <c r="A12" t="s">
        <v>59</v>
      </c>
      <c r="B12" t="s">
        <v>58</v>
      </c>
      <c r="C12" t="s">
        <v>238</v>
      </c>
      <c r="D12" t="s">
        <v>51</v>
      </c>
      <c r="E12" t="s">
        <v>253</v>
      </c>
      <c r="F12" t="s">
        <v>50</v>
      </c>
      <c r="G12" t="s">
        <v>242</v>
      </c>
      <c r="H12" t="s">
        <v>25</v>
      </c>
      <c r="I12" t="s">
        <v>26</v>
      </c>
      <c r="J12" s="1">
        <v>44727</v>
      </c>
      <c r="K12" s="4">
        <f t="shared" ca="1" si="0"/>
        <v>1258.7166336805531</v>
      </c>
      <c r="L12">
        <v>3</v>
      </c>
    </row>
    <row r="13" spans="1:12" x14ac:dyDescent="0.25">
      <c r="A13" t="s">
        <v>61</v>
      </c>
      <c r="B13" t="s">
        <v>58</v>
      </c>
      <c r="C13" t="s">
        <v>238</v>
      </c>
      <c r="D13" t="s">
        <v>51</v>
      </c>
      <c r="E13" t="s">
        <v>253</v>
      </c>
      <c r="F13" t="s">
        <v>50</v>
      </c>
      <c r="G13" t="s">
        <v>242</v>
      </c>
      <c r="H13" t="s">
        <v>25</v>
      </c>
      <c r="I13" t="s">
        <v>26</v>
      </c>
      <c r="J13" s="1">
        <v>43613</v>
      </c>
      <c r="K13" s="4">
        <f t="shared" ca="1" si="0"/>
        <v>2372.7166336805531</v>
      </c>
      <c r="L13">
        <v>4</v>
      </c>
    </row>
    <row r="14" spans="1:12" x14ac:dyDescent="0.25">
      <c r="A14" t="s">
        <v>63</v>
      </c>
      <c r="B14" t="s">
        <v>58</v>
      </c>
      <c r="C14" t="s">
        <v>238</v>
      </c>
      <c r="D14" t="s">
        <v>54</v>
      </c>
      <c r="E14" t="s">
        <v>254</v>
      </c>
      <c r="F14" t="s">
        <v>50</v>
      </c>
      <c r="G14" t="s">
        <v>24</v>
      </c>
      <c r="H14" t="s">
        <v>25</v>
      </c>
      <c r="I14" t="s">
        <v>26</v>
      </c>
      <c r="J14" s="1">
        <v>44175</v>
      </c>
      <c r="K14" s="4">
        <f t="shared" ca="1" si="0"/>
        <v>1810.7166336805531</v>
      </c>
      <c r="L14">
        <v>1</v>
      </c>
    </row>
    <row r="15" spans="1:12" x14ac:dyDescent="0.25">
      <c r="A15" t="s">
        <v>65</v>
      </c>
      <c r="B15" t="s">
        <v>58</v>
      </c>
      <c r="C15" t="s">
        <v>237</v>
      </c>
      <c r="D15" t="s">
        <v>54</v>
      </c>
      <c r="E15" t="s">
        <v>254</v>
      </c>
      <c r="F15" t="s">
        <v>50</v>
      </c>
      <c r="G15" t="s">
        <v>24</v>
      </c>
      <c r="H15" t="s">
        <v>25</v>
      </c>
      <c r="I15" t="s">
        <v>26</v>
      </c>
      <c r="J15" s="1">
        <v>43243</v>
      </c>
      <c r="K15" s="4">
        <f t="shared" ca="1" si="0"/>
        <v>2742.7166336805531</v>
      </c>
      <c r="L15">
        <v>4</v>
      </c>
    </row>
    <row r="16" spans="1:12" x14ac:dyDescent="0.25">
      <c r="A16" t="s">
        <v>67</v>
      </c>
      <c r="B16" t="s">
        <v>58</v>
      </c>
      <c r="C16" t="s">
        <v>237</v>
      </c>
      <c r="D16" t="s">
        <v>54</v>
      </c>
      <c r="E16" t="s">
        <v>254</v>
      </c>
      <c r="F16" t="s">
        <v>50</v>
      </c>
      <c r="G16" t="s">
        <v>24</v>
      </c>
      <c r="H16" t="s">
        <v>25</v>
      </c>
      <c r="I16" t="s">
        <v>26</v>
      </c>
      <c r="J16" s="1">
        <v>44113</v>
      </c>
      <c r="K16" s="4">
        <f t="shared" ca="1" si="0"/>
        <v>1872.7166336805531</v>
      </c>
      <c r="L16">
        <v>1</v>
      </c>
    </row>
    <row r="17" spans="1:12" x14ac:dyDescent="0.25">
      <c r="A17" t="s">
        <v>69</v>
      </c>
      <c r="B17" t="s">
        <v>71</v>
      </c>
      <c r="C17" t="s">
        <v>233</v>
      </c>
      <c r="D17" t="s">
        <v>18</v>
      </c>
      <c r="E17" t="s">
        <v>265</v>
      </c>
      <c r="F17" t="s">
        <v>72</v>
      </c>
      <c r="G17" t="s">
        <v>242</v>
      </c>
      <c r="H17" t="s">
        <v>25</v>
      </c>
      <c r="I17" t="s">
        <v>26</v>
      </c>
      <c r="J17" s="1">
        <v>43808</v>
      </c>
      <c r="K17" s="4">
        <f t="shared" ca="1" si="0"/>
        <v>2177.7166336805531</v>
      </c>
      <c r="L17">
        <v>4</v>
      </c>
    </row>
    <row r="18" spans="1:12" x14ac:dyDescent="0.25">
      <c r="A18" t="s">
        <v>73</v>
      </c>
      <c r="B18" t="s">
        <v>75</v>
      </c>
      <c r="C18" t="s">
        <v>234</v>
      </c>
      <c r="D18" t="s">
        <v>69</v>
      </c>
      <c r="E18" t="s">
        <v>264</v>
      </c>
      <c r="F18" t="s">
        <v>72</v>
      </c>
      <c r="G18" t="s">
        <v>242</v>
      </c>
      <c r="H18" t="s">
        <v>25</v>
      </c>
      <c r="I18" t="s">
        <v>26</v>
      </c>
      <c r="J18" s="1">
        <v>43651</v>
      </c>
      <c r="K18" s="4">
        <f t="shared" ca="1" si="0"/>
        <v>2334.7166336805531</v>
      </c>
      <c r="L18">
        <v>0</v>
      </c>
    </row>
    <row r="19" spans="1:12" x14ac:dyDescent="0.25">
      <c r="A19" t="s">
        <v>76</v>
      </c>
      <c r="B19" t="s">
        <v>75</v>
      </c>
      <c r="C19" t="s">
        <v>234</v>
      </c>
      <c r="D19" t="s">
        <v>69</v>
      </c>
      <c r="E19" t="s">
        <v>264</v>
      </c>
      <c r="F19" t="s">
        <v>72</v>
      </c>
      <c r="G19" t="s">
        <v>242</v>
      </c>
      <c r="H19" t="s">
        <v>25</v>
      </c>
      <c r="I19" t="s">
        <v>26</v>
      </c>
      <c r="J19" s="1">
        <v>44340</v>
      </c>
      <c r="K19" s="4">
        <f t="shared" ca="1" si="0"/>
        <v>1645.7166336805531</v>
      </c>
      <c r="L19">
        <v>5</v>
      </c>
    </row>
    <row r="20" spans="1:12" x14ac:dyDescent="0.25">
      <c r="A20" t="s">
        <v>78</v>
      </c>
      <c r="B20" t="s">
        <v>75</v>
      </c>
      <c r="C20" t="s">
        <v>235</v>
      </c>
      <c r="D20" t="s">
        <v>69</v>
      </c>
      <c r="E20" t="s">
        <v>264</v>
      </c>
      <c r="F20" t="s">
        <v>72</v>
      </c>
      <c r="G20" t="s">
        <v>242</v>
      </c>
      <c r="H20" t="s">
        <v>25</v>
      </c>
      <c r="I20" t="s">
        <v>26</v>
      </c>
      <c r="J20" s="1">
        <v>43351</v>
      </c>
      <c r="K20" s="4">
        <f t="shared" ca="1" si="0"/>
        <v>2634.7166336805531</v>
      </c>
      <c r="L20">
        <v>0</v>
      </c>
    </row>
    <row r="21" spans="1:12" x14ac:dyDescent="0.25">
      <c r="A21" t="s">
        <v>80</v>
      </c>
      <c r="B21" t="s">
        <v>75</v>
      </c>
      <c r="C21" t="s">
        <v>234</v>
      </c>
      <c r="D21" t="s">
        <v>69</v>
      </c>
      <c r="E21" t="s">
        <v>264</v>
      </c>
      <c r="F21" t="s">
        <v>72</v>
      </c>
      <c r="G21" t="s">
        <v>242</v>
      </c>
      <c r="H21" t="s">
        <v>25</v>
      </c>
      <c r="I21" t="s">
        <v>26</v>
      </c>
      <c r="J21" s="1">
        <v>43309</v>
      </c>
      <c r="K21" s="4">
        <f t="shared" ca="1" si="0"/>
        <v>2676.7166336805531</v>
      </c>
      <c r="L21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"/>
  <sheetViews>
    <sheetView workbookViewId="0">
      <selection activeCell="C2" sqref="C2:D21"/>
    </sheetView>
  </sheetViews>
  <sheetFormatPr defaultRowHeight="15" x14ac:dyDescent="0.25"/>
  <cols>
    <col min="2" max="2" width="10.5703125" bestFit="1" customWidth="1"/>
    <col min="3" max="3" width="16.42578125" bestFit="1" customWidth="1"/>
    <col min="4" max="4" width="13.42578125" bestFit="1" customWidth="1"/>
    <col min="5" max="5" width="10.42578125" bestFit="1" customWidth="1"/>
    <col min="6" max="6" width="14" bestFit="1" customWidth="1"/>
    <col min="9" max="9" width="17" bestFit="1" customWidth="1"/>
    <col min="10" max="10" width="14.85546875" bestFit="1" customWidth="1"/>
  </cols>
  <sheetData>
    <row r="1" spans="1:10" x14ac:dyDescent="0.25">
      <c r="A1" t="s">
        <v>0</v>
      </c>
      <c r="B1" t="s">
        <v>116</v>
      </c>
      <c r="C1" t="s">
        <v>117</v>
      </c>
      <c r="D1" t="s">
        <v>118</v>
      </c>
      <c r="E1" t="s">
        <v>114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</row>
    <row r="2" spans="1:10" x14ac:dyDescent="0.25">
      <c r="A2" t="s">
        <v>18</v>
      </c>
      <c r="B2" s="1">
        <v>45636</v>
      </c>
      <c r="C2">
        <v>5</v>
      </c>
      <c r="D2" t="s">
        <v>124</v>
      </c>
      <c r="E2" s="4">
        <f ca="1">'Organisation Structure'!K2</f>
        <v>2365.7166336805531</v>
      </c>
      <c r="F2" t="s">
        <v>280</v>
      </c>
      <c r="G2" t="s">
        <v>126</v>
      </c>
      <c r="H2" t="s">
        <v>21</v>
      </c>
      <c r="I2" s="1">
        <v>43620</v>
      </c>
      <c r="J2" s="1">
        <v>46002</v>
      </c>
    </row>
    <row r="3" spans="1:10" x14ac:dyDescent="0.25">
      <c r="A3" t="s">
        <v>30</v>
      </c>
      <c r="B3" s="1">
        <v>45636</v>
      </c>
      <c r="C3">
        <v>2</v>
      </c>
      <c r="D3" t="s">
        <v>124</v>
      </c>
      <c r="E3" s="4">
        <f ca="1">'Organisation Structure'!K3</f>
        <v>2429.7166336805531</v>
      </c>
      <c r="G3" t="s">
        <v>127</v>
      </c>
      <c r="H3" t="s">
        <v>21</v>
      </c>
      <c r="I3" s="1">
        <v>43556</v>
      </c>
      <c r="J3" s="1">
        <v>46002</v>
      </c>
    </row>
    <row r="4" spans="1:10" x14ac:dyDescent="0.25">
      <c r="A4" t="s">
        <v>34</v>
      </c>
      <c r="B4" s="1">
        <v>45636</v>
      </c>
      <c r="C4">
        <v>5</v>
      </c>
      <c r="D4" t="s">
        <v>124</v>
      </c>
      <c r="E4" s="4">
        <f ca="1">'Organisation Structure'!K4</f>
        <v>1073.7166336805531</v>
      </c>
      <c r="G4" t="s">
        <v>128</v>
      </c>
      <c r="H4" t="s">
        <v>21</v>
      </c>
      <c r="I4" s="1">
        <v>44912</v>
      </c>
      <c r="J4" s="1">
        <v>46002</v>
      </c>
    </row>
    <row r="5" spans="1:10" x14ac:dyDescent="0.25">
      <c r="A5" t="s">
        <v>38</v>
      </c>
      <c r="B5" s="1">
        <v>45636</v>
      </c>
      <c r="C5">
        <v>3</v>
      </c>
      <c r="D5" t="s">
        <v>129</v>
      </c>
      <c r="E5" s="4">
        <f ca="1">'Organisation Structure'!K5</f>
        <v>2070.7166336805531</v>
      </c>
      <c r="G5" t="s">
        <v>130</v>
      </c>
      <c r="H5" t="s">
        <v>21</v>
      </c>
      <c r="I5" s="1">
        <v>43915</v>
      </c>
      <c r="J5" s="1">
        <v>46002</v>
      </c>
    </row>
    <row r="6" spans="1:10" x14ac:dyDescent="0.25">
      <c r="A6" t="s">
        <v>41</v>
      </c>
      <c r="B6" s="1">
        <v>45636</v>
      </c>
      <c r="C6">
        <v>2</v>
      </c>
      <c r="D6" t="s">
        <v>129</v>
      </c>
      <c r="E6" s="4">
        <f ca="1">'Organisation Structure'!K6</f>
        <v>1162.7166336805531</v>
      </c>
      <c r="G6" t="s">
        <v>131</v>
      </c>
      <c r="H6" t="s">
        <v>21</v>
      </c>
      <c r="I6" s="1">
        <v>44823</v>
      </c>
      <c r="J6" s="1">
        <v>46002</v>
      </c>
    </row>
    <row r="7" spans="1:10" x14ac:dyDescent="0.25">
      <c r="A7" t="s">
        <v>44</v>
      </c>
      <c r="B7" s="1">
        <v>45636</v>
      </c>
      <c r="C7">
        <v>5</v>
      </c>
      <c r="D7" t="s">
        <v>132</v>
      </c>
      <c r="E7" s="4">
        <f ca="1">'Organisation Structure'!K7</f>
        <v>1471.7166336805531</v>
      </c>
      <c r="G7" t="s">
        <v>133</v>
      </c>
      <c r="H7" t="s">
        <v>21</v>
      </c>
      <c r="I7" s="1">
        <v>44514</v>
      </c>
      <c r="J7" s="1">
        <v>46002</v>
      </c>
    </row>
    <row r="8" spans="1:10" x14ac:dyDescent="0.25">
      <c r="A8" t="s">
        <v>47</v>
      </c>
      <c r="B8" s="1">
        <v>45636</v>
      </c>
      <c r="C8">
        <v>2</v>
      </c>
      <c r="D8" t="s">
        <v>129</v>
      </c>
      <c r="E8" s="4">
        <f ca="1">'Organisation Structure'!K8</f>
        <v>2859.7166336805531</v>
      </c>
      <c r="F8" t="s">
        <v>125</v>
      </c>
      <c r="G8" t="s">
        <v>134</v>
      </c>
      <c r="H8" t="s">
        <v>21</v>
      </c>
      <c r="I8" s="1">
        <v>43126</v>
      </c>
      <c r="J8" s="1">
        <v>46002</v>
      </c>
    </row>
    <row r="9" spans="1:10" x14ac:dyDescent="0.25">
      <c r="A9" t="s">
        <v>51</v>
      </c>
      <c r="B9" s="1">
        <v>45636</v>
      </c>
      <c r="C9">
        <v>2</v>
      </c>
      <c r="D9" t="s">
        <v>132</v>
      </c>
      <c r="E9" s="4">
        <f ca="1">'Organisation Structure'!K9</f>
        <v>1150.7166336805531</v>
      </c>
      <c r="F9" t="s">
        <v>125</v>
      </c>
      <c r="G9" t="s">
        <v>135</v>
      </c>
      <c r="H9" t="s">
        <v>21</v>
      </c>
      <c r="I9" s="1">
        <v>44835</v>
      </c>
      <c r="J9" s="1">
        <v>46002</v>
      </c>
    </row>
    <row r="10" spans="1:10" x14ac:dyDescent="0.25">
      <c r="A10" t="s">
        <v>54</v>
      </c>
      <c r="B10" s="1">
        <v>45636</v>
      </c>
      <c r="C10">
        <v>2</v>
      </c>
      <c r="D10" t="s">
        <v>132</v>
      </c>
      <c r="E10" s="4">
        <f ca="1">'Organisation Structure'!K10</f>
        <v>1590.7166336805531</v>
      </c>
      <c r="F10" t="s">
        <v>125</v>
      </c>
      <c r="G10" t="s">
        <v>136</v>
      </c>
      <c r="H10" t="s">
        <v>21</v>
      </c>
      <c r="I10" s="1">
        <v>44395</v>
      </c>
      <c r="J10" s="1">
        <v>46002</v>
      </c>
    </row>
    <row r="11" spans="1:10" x14ac:dyDescent="0.25">
      <c r="A11" t="s">
        <v>56</v>
      </c>
      <c r="B11" s="1">
        <v>45636</v>
      </c>
      <c r="C11">
        <v>5</v>
      </c>
      <c r="D11" t="s">
        <v>132</v>
      </c>
      <c r="E11" s="4">
        <f ca="1">'Organisation Structure'!K11</f>
        <v>1947.7166336805531</v>
      </c>
      <c r="F11" t="s">
        <v>125</v>
      </c>
      <c r="G11" t="s">
        <v>137</v>
      </c>
      <c r="H11" t="s">
        <v>21</v>
      </c>
      <c r="I11" s="1">
        <v>44038</v>
      </c>
      <c r="J11" s="1">
        <v>46002</v>
      </c>
    </row>
    <row r="12" spans="1:10" x14ac:dyDescent="0.25">
      <c r="A12" t="s">
        <v>59</v>
      </c>
      <c r="B12" s="1">
        <v>45636</v>
      </c>
      <c r="C12">
        <v>5</v>
      </c>
      <c r="D12" t="s">
        <v>132</v>
      </c>
      <c r="E12" s="4">
        <f ca="1">'Organisation Structure'!K12</f>
        <v>1258.7166336805531</v>
      </c>
      <c r="F12" t="s">
        <v>125</v>
      </c>
      <c r="G12" t="s">
        <v>130</v>
      </c>
      <c r="H12" t="s">
        <v>21</v>
      </c>
      <c r="I12" s="1">
        <v>44727</v>
      </c>
      <c r="J12" s="1">
        <v>46002</v>
      </c>
    </row>
    <row r="13" spans="1:10" x14ac:dyDescent="0.25">
      <c r="A13" t="s">
        <v>61</v>
      </c>
      <c r="B13" s="1">
        <v>45636</v>
      </c>
      <c r="C13">
        <v>5</v>
      </c>
      <c r="D13" t="s">
        <v>124</v>
      </c>
      <c r="E13" s="4">
        <f ca="1">'Organisation Structure'!K13</f>
        <v>2372.7166336805531</v>
      </c>
      <c r="F13" t="s">
        <v>125</v>
      </c>
      <c r="G13" t="s">
        <v>135</v>
      </c>
      <c r="H13" t="s">
        <v>21</v>
      </c>
      <c r="I13" s="1">
        <v>43613</v>
      </c>
      <c r="J13" s="1">
        <v>46002</v>
      </c>
    </row>
    <row r="14" spans="1:10" x14ac:dyDescent="0.25">
      <c r="A14" t="s">
        <v>63</v>
      </c>
      <c r="B14" s="1">
        <v>45636</v>
      </c>
      <c r="C14">
        <v>2</v>
      </c>
      <c r="D14" t="s">
        <v>132</v>
      </c>
      <c r="E14" s="4">
        <f ca="1">'Organisation Structure'!K14</f>
        <v>1810.7166336805531</v>
      </c>
      <c r="F14" t="s">
        <v>125</v>
      </c>
      <c r="G14" t="s">
        <v>138</v>
      </c>
      <c r="H14" t="s">
        <v>21</v>
      </c>
      <c r="I14" s="1">
        <v>44175</v>
      </c>
      <c r="J14" s="1">
        <v>46002</v>
      </c>
    </row>
    <row r="15" spans="1:10" x14ac:dyDescent="0.25">
      <c r="A15" t="s">
        <v>65</v>
      </c>
      <c r="B15" s="1">
        <v>45636</v>
      </c>
      <c r="C15">
        <v>1</v>
      </c>
      <c r="D15" t="s">
        <v>124</v>
      </c>
      <c r="E15" s="4">
        <f ca="1">'Organisation Structure'!K15</f>
        <v>2742.7166336805531</v>
      </c>
      <c r="F15" t="s">
        <v>125</v>
      </c>
      <c r="G15" t="s">
        <v>139</v>
      </c>
      <c r="H15" t="s">
        <v>21</v>
      </c>
      <c r="I15" s="1">
        <v>43243</v>
      </c>
      <c r="J15" s="1">
        <v>46002</v>
      </c>
    </row>
    <row r="16" spans="1:10" x14ac:dyDescent="0.25">
      <c r="A16" t="s">
        <v>67</v>
      </c>
      <c r="B16" s="1">
        <v>45636</v>
      </c>
      <c r="C16">
        <v>1</v>
      </c>
      <c r="D16" t="s">
        <v>129</v>
      </c>
      <c r="E16" s="4">
        <f ca="1">'Organisation Structure'!K16</f>
        <v>1872.7166336805531</v>
      </c>
      <c r="F16" t="s">
        <v>125</v>
      </c>
      <c r="G16" t="s">
        <v>140</v>
      </c>
      <c r="H16" t="s">
        <v>21</v>
      </c>
      <c r="I16" s="1">
        <v>44113</v>
      </c>
      <c r="J16" s="1">
        <v>46002</v>
      </c>
    </row>
    <row r="17" spans="1:10" x14ac:dyDescent="0.25">
      <c r="A17" t="s">
        <v>69</v>
      </c>
      <c r="B17" s="1">
        <v>45636</v>
      </c>
      <c r="C17">
        <v>3</v>
      </c>
      <c r="D17" t="s">
        <v>132</v>
      </c>
      <c r="E17" s="4">
        <f ca="1">'Organisation Structure'!K17</f>
        <v>2177.7166336805531</v>
      </c>
      <c r="G17" t="s">
        <v>133</v>
      </c>
      <c r="H17" t="s">
        <v>21</v>
      </c>
      <c r="I17" s="1">
        <v>43808</v>
      </c>
      <c r="J17" s="1">
        <v>46002</v>
      </c>
    </row>
    <row r="18" spans="1:10" x14ac:dyDescent="0.25">
      <c r="A18" t="s">
        <v>73</v>
      </c>
      <c r="B18" s="1">
        <v>45636</v>
      </c>
      <c r="C18">
        <v>5</v>
      </c>
      <c r="D18" t="s">
        <v>129</v>
      </c>
      <c r="E18" s="4">
        <f ca="1">'Organisation Structure'!K18</f>
        <v>2334.7166336805531</v>
      </c>
      <c r="G18" t="s">
        <v>141</v>
      </c>
      <c r="H18" t="s">
        <v>21</v>
      </c>
      <c r="I18" s="1">
        <v>43651</v>
      </c>
      <c r="J18" s="1">
        <v>46002</v>
      </c>
    </row>
    <row r="19" spans="1:10" x14ac:dyDescent="0.25">
      <c r="A19" t="s">
        <v>76</v>
      </c>
      <c r="B19" s="1">
        <v>45636</v>
      </c>
      <c r="C19">
        <v>5</v>
      </c>
      <c r="D19" t="s">
        <v>132</v>
      </c>
      <c r="E19" s="4">
        <f ca="1">'Organisation Structure'!K19</f>
        <v>1645.7166336805531</v>
      </c>
      <c r="G19" t="s">
        <v>136</v>
      </c>
      <c r="H19" t="s">
        <v>21</v>
      </c>
      <c r="I19" s="1">
        <v>44340</v>
      </c>
      <c r="J19" s="1">
        <v>46002</v>
      </c>
    </row>
    <row r="20" spans="1:10" x14ac:dyDescent="0.25">
      <c r="A20" t="s">
        <v>78</v>
      </c>
      <c r="B20" s="1">
        <v>45636</v>
      </c>
      <c r="C20">
        <v>4</v>
      </c>
      <c r="D20" t="s">
        <v>129</v>
      </c>
      <c r="E20" s="4">
        <f ca="1">'Organisation Structure'!K20</f>
        <v>2634.7166336805531</v>
      </c>
      <c r="G20" t="s">
        <v>142</v>
      </c>
      <c r="H20" t="s">
        <v>21</v>
      </c>
      <c r="I20" s="1">
        <v>43351</v>
      </c>
      <c r="J20" s="1">
        <v>46002</v>
      </c>
    </row>
    <row r="21" spans="1:10" x14ac:dyDescent="0.25">
      <c r="A21" t="s">
        <v>80</v>
      </c>
      <c r="B21" s="1">
        <v>45636</v>
      </c>
      <c r="C21">
        <v>5</v>
      </c>
      <c r="D21" t="s">
        <v>132</v>
      </c>
      <c r="E21" s="4">
        <f ca="1">'Organisation Structure'!K21</f>
        <v>2676.7166336805531</v>
      </c>
      <c r="G21" t="s">
        <v>143</v>
      </c>
      <c r="H21" t="s">
        <v>21</v>
      </c>
      <c r="I21" s="1">
        <v>43309</v>
      </c>
      <c r="J21" s="1">
        <v>46002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"/>
  <sheetViews>
    <sheetView workbookViewId="0">
      <selection activeCell="H21" sqref="H21"/>
    </sheetView>
  </sheetViews>
  <sheetFormatPr defaultRowHeight="15" x14ac:dyDescent="0.25"/>
  <cols>
    <col min="2" max="2" width="18" bestFit="1" customWidth="1"/>
    <col min="4" max="4" width="13.42578125" bestFit="1" customWidth="1"/>
    <col min="5" max="5" width="10.5703125" bestFit="1" customWidth="1"/>
    <col min="10" max="10" width="18.42578125" bestFit="1" customWidth="1"/>
  </cols>
  <sheetData>
    <row r="1" spans="1:10" x14ac:dyDescent="0.25">
      <c r="A1" t="s">
        <v>0</v>
      </c>
      <c r="B1" t="s">
        <v>144</v>
      </c>
      <c r="C1" t="s">
        <v>117</v>
      </c>
      <c r="D1" t="s">
        <v>118</v>
      </c>
      <c r="E1" t="s">
        <v>145</v>
      </c>
      <c r="F1" t="s">
        <v>146</v>
      </c>
      <c r="G1" t="s">
        <v>283</v>
      </c>
      <c r="H1" t="s">
        <v>147</v>
      </c>
      <c r="I1" t="s">
        <v>148</v>
      </c>
      <c r="J1" t="s">
        <v>149</v>
      </c>
    </row>
    <row r="2" spans="1:10" x14ac:dyDescent="0.25">
      <c r="A2" t="s">
        <v>18</v>
      </c>
      <c r="B2" t="s">
        <v>22</v>
      </c>
      <c r="C2">
        <f>Performance!C2</f>
        <v>5</v>
      </c>
      <c r="D2" t="s">
        <v>124</v>
      </c>
      <c r="F2" t="s">
        <v>100</v>
      </c>
      <c r="H2" t="s">
        <v>34</v>
      </c>
      <c r="I2" t="s">
        <v>150</v>
      </c>
      <c r="J2" s="1">
        <v>46024</v>
      </c>
    </row>
    <row r="3" spans="1:10" x14ac:dyDescent="0.25">
      <c r="A3" t="s">
        <v>30</v>
      </c>
      <c r="B3" t="s">
        <v>33</v>
      </c>
      <c r="C3">
        <f>Performance!C3</f>
        <v>2</v>
      </c>
      <c r="D3" t="s">
        <v>124</v>
      </c>
      <c r="F3" t="s">
        <v>100</v>
      </c>
      <c r="J3" s="1">
        <v>46031</v>
      </c>
    </row>
    <row r="4" spans="1:10" x14ac:dyDescent="0.25">
      <c r="A4" t="s">
        <v>34</v>
      </c>
      <c r="B4" t="s">
        <v>36</v>
      </c>
      <c r="C4">
        <f>Performance!C4</f>
        <v>5</v>
      </c>
      <c r="D4" t="s">
        <v>124</v>
      </c>
      <c r="E4" t="s">
        <v>22</v>
      </c>
      <c r="F4" t="s">
        <v>98</v>
      </c>
      <c r="H4" t="s">
        <v>47</v>
      </c>
      <c r="I4" t="s">
        <v>150</v>
      </c>
      <c r="J4" s="1">
        <v>46073</v>
      </c>
    </row>
    <row r="5" spans="1:10" x14ac:dyDescent="0.25">
      <c r="A5" t="s">
        <v>38</v>
      </c>
      <c r="B5" t="s">
        <v>40</v>
      </c>
      <c r="C5">
        <f>Performance!C5</f>
        <v>3</v>
      </c>
      <c r="D5" t="s">
        <v>124</v>
      </c>
      <c r="E5" t="s">
        <v>281</v>
      </c>
      <c r="F5" t="s">
        <v>100</v>
      </c>
      <c r="G5" t="s">
        <v>98</v>
      </c>
      <c r="J5" s="1">
        <v>46330</v>
      </c>
    </row>
    <row r="6" spans="1:10" x14ac:dyDescent="0.25">
      <c r="A6" t="s">
        <v>41</v>
      </c>
      <c r="B6" t="s">
        <v>43</v>
      </c>
      <c r="C6">
        <f>Performance!C6</f>
        <v>2</v>
      </c>
      <c r="D6" t="s">
        <v>124</v>
      </c>
      <c r="F6" t="s">
        <v>100</v>
      </c>
      <c r="J6" s="1">
        <v>46078</v>
      </c>
    </row>
    <row r="7" spans="1:10" x14ac:dyDescent="0.25">
      <c r="A7" t="s">
        <v>44</v>
      </c>
      <c r="B7" t="s">
        <v>46</v>
      </c>
      <c r="C7">
        <f>Performance!C7</f>
        <v>5</v>
      </c>
      <c r="D7" t="s">
        <v>124</v>
      </c>
      <c r="E7" t="s">
        <v>282</v>
      </c>
      <c r="F7" t="s">
        <v>100</v>
      </c>
      <c r="G7" t="s">
        <v>98</v>
      </c>
      <c r="J7" s="1">
        <v>46213</v>
      </c>
    </row>
    <row r="8" spans="1:10" x14ac:dyDescent="0.25">
      <c r="A8" t="s">
        <v>47</v>
      </c>
      <c r="B8" t="s">
        <v>49</v>
      </c>
      <c r="C8">
        <f>Performance!C8</f>
        <v>2</v>
      </c>
      <c r="D8" t="s">
        <v>124</v>
      </c>
      <c r="E8" t="s">
        <v>281</v>
      </c>
      <c r="F8" t="s">
        <v>98</v>
      </c>
      <c r="H8" t="s">
        <v>51</v>
      </c>
      <c r="I8" t="s">
        <v>150</v>
      </c>
      <c r="J8" s="1">
        <v>46040</v>
      </c>
    </row>
    <row r="9" spans="1:10" x14ac:dyDescent="0.25">
      <c r="A9" t="s">
        <v>51</v>
      </c>
      <c r="B9" t="s">
        <v>53</v>
      </c>
      <c r="C9">
        <f>Performance!C9</f>
        <v>2</v>
      </c>
      <c r="D9" t="s">
        <v>124</v>
      </c>
      <c r="E9" t="s">
        <v>49</v>
      </c>
      <c r="F9" t="s">
        <v>100</v>
      </c>
      <c r="G9" t="s">
        <v>98</v>
      </c>
      <c r="H9" t="s">
        <v>61</v>
      </c>
      <c r="I9" t="s">
        <v>150</v>
      </c>
      <c r="J9" s="1">
        <v>46282</v>
      </c>
    </row>
    <row r="10" spans="1:10" x14ac:dyDescent="0.25">
      <c r="A10" t="s">
        <v>54</v>
      </c>
      <c r="B10" t="s">
        <v>53</v>
      </c>
      <c r="C10">
        <f>Performance!C10</f>
        <v>2</v>
      </c>
      <c r="D10" t="s">
        <v>124</v>
      </c>
      <c r="F10" t="s">
        <v>100</v>
      </c>
      <c r="H10" t="s">
        <v>63</v>
      </c>
      <c r="I10" t="s">
        <v>150</v>
      </c>
      <c r="J10" s="1">
        <v>46226</v>
      </c>
    </row>
    <row r="11" spans="1:10" x14ac:dyDescent="0.25">
      <c r="A11" t="s">
        <v>56</v>
      </c>
      <c r="B11" t="s">
        <v>58</v>
      </c>
      <c r="C11">
        <f>Performance!C11</f>
        <v>5</v>
      </c>
      <c r="D11" t="s">
        <v>124</v>
      </c>
      <c r="F11" t="s">
        <v>100</v>
      </c>
      <c r="J11" s="1">
        <v>46175</v>
      </c>
    </row>
    <row r="12" spans="1:10" x14ac:dyDescent="0.25">
      <c r="A12" t="s">
        <v>59</v>
      </c>
      <c r="B12" t="s">
        <v>58</v>
      </c>
      <c r="C12">
        <f>Performance!C12</f>
        <v>5</v>
      </c>
      <c r="D12" t="s">
        <v>124</v>
      </c>
      <c r="F12" t="s">
        <v>100</v>
      </c>
      <c r="J12" s="1">
        <v>46291</v>
      </c>
    </row>
    <row r="13" spans="1:10" x14ac:dyDescent="0.25">
      <c r="A13" t="s">
        <v>61</v>
      </c>
      <c r="B13" t="s">
        <v>58</v>
      </c>
      <c r="C13">
        <f>Performance!C13</f>
        <v>5</v>
      </c>
      <c r="D13" t="s">
        <v>124</v>
      </c>
      <c r="E13" t="s">
        <v>53</v>
      </c>
      <c r="F13" t="s">
        <v>98</v>
      </c>
      <c r="H13" t="s">
        <v>80</v>
      </c>
      <c r="J13" s="1">
        <v>46210</v>
      </c>
    </row>
    <row r="14" spans="1:10" x14ac:dyDescent="0.25">
      <c r="A14" t="s">
        <v>63</v>
      </c>
      <c r="B14" t="s">
        <v>58</v>
      </c>
      <c r="C14">
        <f>Performance!C14</f>
        <v>2</v>
      </c>
      <c r="D14" t="s">
        <v>124</v>
      </c>
      <c r="E14" t="s">
        <v>53</v>
      </c>
      <c r="F14" t="s">
        <v>98</v>
      </c>
      <c r="J14" s="1">
        <v>46228</v>
      </c>
    </row>
    <row r="15" spans="1:10" x14ac:dyDescent="0.25">
      <c r="A15" t="s">
        <v>65</v>
      </c>
      <c r="B15" t="s">
        <v>58</v>
      </c>
      <c r="C15">
        <f>Performance!C15</f>
        <v>1</v>
      </c>
      <c r="D15" t="s">
        <v>124</v>
      </c>
      <c r="E15" t="s">
        <v>53</v>
      </c>
      <c r="F15" t="s">
        <v>98</v>
      </c>
      <c r="J15" s="1">
        <v>46308</v>
      </c>
    </row>
    <row r="16" spans="1:10" x14ac:dyDescent="0.25">
      <c r="A16" t="s">
        <v>67</v>
      </c>
      <c r="B16" t="s">
        <v>58</v>
      </c>
      <c r="C16">
        <f>Performance!C16</f>
        <v>1</v>
      </c>
      <c r="D16" t="s">
        <v>124</v>
      </c>
      <c r="E16" t="s">
        <v>53</v>
      </c>
      <c r="F16" t="s">
        <v>98</v>
      </c>
      <c r="J16" s="1">
        <v>46268</v>
      </c>
    </row>
    <row r="17" spans="1:10" x14ac:dyDescent="0.25">
      <c r="A17" t="s">
        <v>69</v>
      </c>
      <c r="B17" t="s">
        <v>71</v>
      </c>
      <c r="C17">
        <f>Performance!C17</f>
        <v>3</v>
      </c>
      <c r="D17" t="s">
        <v>124</v>
      </c>
      <c r="E17" t="s">
        <v>22</v>
      </c>
      <c r="F17" t="s">
        <v>100</v>
      </c>
      <c r="G17" t="s">
        <v>100</v>
      </c>
      <c r="H17" t="s">
        <v>73</v>
      </c>
      <c r="J17" s="1">
        <v>46137</v>
      </c>
    </row>
    <row r="18" spans="1:10" x14ac:dyDescent="0.25">
      <c r="A18" t="s">
        <v>73</v>
      </c>
      <c r="B18" t="s">
        <v>75</v>
      </c>
      <c r="C18">
        <f>Performance!C18</f>
        <v>5</v>
      </c>
      <c r="D18" t="s">
        <v>124</v>
      </c>
      <c r="E18" t="s">
        <v>71</v>
      </c>
      <c r="F18" t="s">
        <v>98</v>
      </c>
      <c r="J18" s="1">
        <v>46317</v>
      </c>
    </row>
    <row r="19" spans="1:10" x14ac:dyDescent="0.25">
      <c r="A19" t="s">
        <v>76</v>
      </c>
      <c r="B19" t="s">
        <v>75</v>
      </c>
      <c r="C19">
        <f>Performance!C19</f>
        <v>5</v>
      </c>
      <c r="D19" t="s">
        <v>124</v>
      </c>
      <c r="E19" t="s">
        <v>71</v>
      </c>
      <c r="F19" t="s">
        <v>100</v>
      </c>
      <c r="G19" t="s">
        <v>98</v>
      </c>
      <c r="J19" s="1">
        <v>46112</v>
      </c>
    </row>
    <row r="20" spans="1:10" x14ac:dyDescent="0.25">
      <c r="A20" t="s">
        <v>78</v>
      </c>
      <c r="B20" t="s">
        <v>75</v>
      </c>
      <c r="C20">
        <f>Performance!C20</f>
        <v>4</v>
      </c>
      <c r="D20" t="s">
        <v>124</v>
      </c>
      <c r="E20" t="s">
        <v>15</v>
      </c>
      <c r="F20" t="s">
        <v>100</v>
      </c>
      <c r="G20" t="s">
        <v>100</v>
      </c>
      <c r="J20" s="1">
        <v>46095</v>
      </c>
    </row>
    <row r="21" spans="1:10" x14ac:dyDescent="0.25">
      <c r="A21" t="s">
        <v>80</v>
      </c>
      <c r="B21" t="s">
        <v>75</v>
      </c>
      <c r="C21">
        <f>Performance!C21</f>
        <v>5</v>
      </c>
      <c r="D21" t="s">
        <v>124</v>
      </c>
      <c r="E21" t="s">
        <v>58</v>
      </c>
      <c r="F21" t="s">
        <v>98</v>
      </c>
      <c r="J21" s="1">
        <v>46279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workbookViewId="0">
      <selection activeCell="E12" sqref="E12"/>
    </sheetView>
  </sheetViews>
  <sheetFormatPr defaultRowHeight="15" x14ac:dyDescent="0.25"/>
  <cols>
    <col min="3" max="3" width="16.140625" bestFit="1" customWidth="1"/>
    <col min="4" max="4" width="15" bestFit="1" customWidth="1"/>
    <col min="5" max="5" width="21.28515625" bestFit="1" customWidth="1"/>
  </cols>
  <sheetData>
    <row r="1" spans="1:6" x14ac:dyDescent="0.25">
      <c r="A1" t="s">
        <v>0</v>
      </c>
      <c r="B1" t="s">
        <v>151</v>
      </c>
      <c r="C1" t="s">
        <v>152</v>
      </c>
      <c r="D1" t="s">
        <v>153</v>
      </c>
      <c r="E1" t="s">
        <v>154</v>
      </c>
      <c r="F1" t="s">
        <v>284</v>
      </c>
    </row>
    <row r="2" spans="1:6" x14ac:dyDescent="0.25">
      <c r="A2" t="s">
        <v>18</v>
      </c>
      <c r="B2">
        <v>89</v>
      </c>
      <c r="C2" t="s">
        <v>129</v>
      </c>
      <c r="D2" t="s">
        <v>155</v>
      </c>
      <c r="E2" t="s">
        <v>98</v>
      </c>
    </row>
    <row r="3" spans="1:6" x14ac:dyDescent="0.25">
      <c r="A3" t="s">
        <v>30</v>
      </c>
      <c r="B3">
        <v>92</v>
      </c>
      <c r="C3" t="s">
        <v>132</v>
      </c>
      <c r="D3" t="s">
        <v>156</v>
      </c>
      <c r="E3" t="s">
        <v>98</v>
      </c>
    </row>
    <row r="4" spans="1:6" x14ac:dyDescent="0.25">
      <c r="A4" t="s">
        <v>34</v>
      </c>
      <c r="B4">
        <v>85</v>
      </c>
      <c r="C4" t="s">
        <v>124</v>
      </c>
      <c r="D4" t="s">
        <v>157</v>
      </c>
      <c r="E4" t="s">
        <v>98</v>
      </c>
    </row>
    <row r="5" spans="1:6" x14ac:dyDescent="0.25">
      <c r="A5" t="s">
        <v>38</v>
      </c>
      <c r="B5">
        <v>59</v>
      </c>
      <c r="C5" t="s">
        <v>129</v>
      </c>
      <c r="D5" t="s">
        <v>158</v>
      </c>
      <c r="E5" t="s">
        <v>100</v>
      </c>
    </row>
    <row r="6" spans="1:6" x14ac:dyDescent="0.25">
      <c r="A6" t="s">
        <v>41</v>
      </c>
      <c r="B6">
        <v>82</v>
      </c>
      <c r="C6" t="s">
        <v>132</v>
      </c>
      <c r="D6" t="s">
        <v>158</v>
      </c>
      <c r="E6" t="s">
        <v>98</v>
      </c>
    </row>
    <row r="7" spans="1:6" x14ac:dyDescent="0.25">
      <c r="A7" t="s">
        <v>44</v>
      </c>
      <c r="B7">
        <v>90</v>
      </c>
      <c r="C7" t="s">
        <v>129</v>
      </c>
      <c r="D7" t="s">
        <v>159</v>
      </c>
      <c r="E7" t="s">
        <v>100</v>
      </c>
    </row>
    <row r="8" spans="1:6" x14ac:dyDescent="0.25">
      <c r="A8" t="s">
        <v>47</v>
      </c>
      <c r="B8">
        <v>65</v>
      </c>
      <c r="C8" t="s">
        <v>129</v>
      </c>
      <c r="D8" t="s">
        <v>157</v>
      </c>
      <c r="E8" t="s">
        <v>98</v>
      </c>
    </row>
    <row r="9" spans="1:6" x14ac:dyDescent="0.25">
      <c r="A9" t="s">
        <v>51</v>
      </c>
      <c r="B9">
        <v>69</v>
      </c>
      <c r="C9" t="s">
        <v>129</v>
      </c>
      <c r="D9" t="s">
        <v>160</v>
      </c>
      <c r="E9" t="s">
        <v>100</v>
      </c>
    </row>
    <row r="10" spans="1:6" x14ac:dyDescent="0.25">
      <c r="A10" t="s">
        <v>54</v>
      </c>
      <c r="B10">
        <v>98</v>
      </c>
      <c r="C10" t="s">
        <v>129</v>
      </c>
      <c r="D10" t="s">
        <v>155</v>
      </c>
      <c r="E10" t="s">
        <v>100</v>
      </c>
    </row>
    <row r="11" spans="1:6" x14ac:dyDescent="0.25">
      <c r="A11" t="s">
        <v>56</v>
      </c>
      <c r="B11">
        <v>67</v>
      </c>
      <c r="C11" t="s">
        <v>132</v>
      </c>
      <c r="D11" t="s">
        <v>161</v>
      </c>
      <c r="E11" t="s">
        <v>98</v>
      </c>
    </row>
    <row r="12" spans="1:6" x14ac:dyDescent="0.25">
      <c r="A12" t="s">
        <v>59</v>
      </c>
      <c r="B12">
        <v>94</v>
      </c>
      <c r="C12" t="s">
        <v>124</v>
      </c>
      <c r="D12" t="s">
        <v>157</v>
      </c>
      <c r="E12" t="s">
        <v>100</v>
      </c>
    </row>
    <row r="13" spans="1:6" x14ac:dyDescent="0.25">
      <c r="A13" t="s">
        <v>61</v>
      </c>
      <c r="B13">
        <v>54</v>
      </c>
      <c r="C13" t="s">
        <v>129</v>
      </c>
      <c r="D13" t="s">
        <v>157</v>
      </c>
      <c r="E13" t="s">
        <v>100</v>
      </c>
    </row>
    <row r="14" spans="1:6" x14ac:dyDescent="0.25">
      <c r="A14" t="s">
        <v>63</v>
      </c>
      <c r="B14">
        <v>53</v>
      </c>
      <c r="C14" t="s">
        <v>129</v>
      </c>
      <c r="D14" t="s">
        <v>157</v>
      </c>
      <c r="E14" t="s">
        <v>98</v>
      </c>
    </row>
    <row r="15" spans="1:6" x14ac:dyDescent="0.25">
      <c r="A15" t="s">
        <v>65</v>
      </c>
      <c r="B15">
        <v>58</v>
      </c>
      <c r="C15" t="s">
        <v>129</v>
      </c>
      <c r="D15" t="s">
        <v>156</v>
      </c>
      <c r="E15" t="s">
        <v>98</v>
      </c>
    </row>
    <row r="16" spans="1:6" x14ac:dyDescent="0.25">
      <c r="A16" t="s">
        <v>67</v>
      </c>
      <c r="B16">
        <v>75</v>
      </c>
      <c r="C16" t="s">
        <v>124</v>
      </c>
      <c r="D16" t="s">
        <v>156</v>
      </c>
      <c r="E16" t="s">
        <v>98</v>
      </c>
    </row>
    <row r="17" spans="1:5" x14ac:dyDescent="0.25">
      <c r="A17" t="s">
        <v>69</v>
      </c>
      <c r="B17">
        <v>62</v>
      </c>
      <c r="C17" t="s">
        <v>132</v>
      </c>
      <c r="D17" t="s">
        <v>161</v>
      </c>
      <c r="E17" t="s">
        <v>98</v>
      </c>
    </row>
    <row r="18" spans="1:5" x14ac:dyDescent="0.25">
      <c r="A18" t="s">
        <v>73</v>
      </c>
      <c r="B18">
        <v>95</v>
      </c>
      <c r="C18" t="s">
        <v>132</v>
      </c>
      <c r="D18" t="s">
        <v>162</v>
      </c>
      <c r="E18" t="s">
        <v>100</v>
      </c>
    </row>
    <row r="19" spans="1:5" x14ac:dyDescent="0.25">
      <c r="A19" t="s">
        <v>76</v>
      </c>
      <c r="B19">
        <v>93</v>
      </c>
      <c r="C19" t="s">
        <v>132</v>
      </c>
      <c r="D19" t="s">
        <v>162</v>
      </c>
      <c r="E19" t="s">
        <v>100</v>
      </c>
    </row>
    <row r="20" spans="1:5" x14ac:dyDescent="0.25">
      <c r="A20" t="s">
        <v>78</v>
      </c>
      <c r="B20">
        <v>90</v>
      </c>
      <c r="C20" t="s">
        <v>132</v>
      </c>
      <c r="D20" t="s">
        <v>163</v>
      </c>
      <c r="E20" t="s">
        <v>100</v>
      </c>
    </row>
    <row r="21" spans="1:5" x14ac:dyDescent="0.25">
      <c r="A21" t="s">
        <v>80</v>
      </c>
      <c r="B21">
        <v>62</v>
      </c>
      <c r="C21" t="s">
        <v>124</v>
      </c>
      <c r="D21" t="s">
        <v>155</v>
      </c>
      <c r="E21" t="s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1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</row>
    <row r="2" spans="1:11" x14ac:dyDescent="0.25">
      <c r="A2" t="s">
        <v>18</v>
      </c>
      <c r="B2">
        <v>98</v>
      </c>
      <c r="C2">
        <v>1</v>
      </c>
      <c r="D2" t="s">
        <v>174</v>
      </c>
      <c r="H2">
        <v>0</v>
      </c>
      <c r="J2" t="s">
        <v>100</v>
      </c>
      <c r="K2" t="s">
        <v>100</v>
      </c>
    </row>
    <row r="3" spans="1:11" x14ac:dyDescent="0.25">
      <c r="A3" t="s">
        <v>30</v>
      </c>
      <c r="B3">
        <v>91</v>
      </c>
      <c r="C3">
        <v>0</v>
      </c>
      <c r="D3" t="s">
        <v>174</v>
      </c>
      <c r="H3">
        <v>0</v>
      </c>
      <c r="J3" t="s">
        <v>100</v>
      </c>
      <c r="K3" t="s">
        <v>100</v>
      </c>
    </row>
    <row r="4" spans="1:11" x14ac:dyDescent="0.25">
      <c r="A4" t="s">
        <v>34</v>
      </c>
      <c r="B4">
        <v>80</v>
      </c>
      <c r="C4">
        <v>1</v>
      </c>
      <c r="D4" t="s">
        <v>174</v>
      </c>
      <c r="H4">
        <v>0</v>
      </c>
      <c r="J4" t="s">
        <v>100</v>
      </c>
      <c r="K4" t="s">
        <v>100</v>
      </c>
    </row>
    <row r="5" spans="1:11" x14ac:dyDescent="0.25">
      <c r="A5" t="s">
        <v>38</v>
      </c>
      <c r="B5">
        <v>84</v>
      </c>
      <c r="C5">
        <v>1</v>
      </c>
      <c r="D5" t="s">
        <v>174</v>
      </c>
      <c r="H5">
        <v>1</v>
      </c>
      <c r="J5" t="s">
        <v>100</v>
      </c>
      <c r="K5" t="s">
        <v>100</v>
      </c>
    </row>
    <row r="6" spans="1:11" x14ac:dyDescent="0.25">
      <c r="A6" t="s">
        <v>41</v>
      </c>
      <c r="B6">
        <v>85</v>
      </c>
      <c r="C6">
        <v>2</v>
      </c>
      <c r="D6" t="s">
        <v>174</v>
      </c>
      <c r="H6">
        <v>1</v>
      </c>
      <c r="J6" t="s">
        <v>100</v>
      </c>
      <c r="K6" t="s">
        <v>100</v>
      </c>
    </row>
    <row r="7" spans="1:11" x14ac:dyDescent="0.25">
      <c r="A7" t="s">
        <v>44</v>
      </c>
      <c r="B7">
        <v>96</v>
      </c>
      <c r="C7">
        <v>2</v>
      </c>
      <c r="D7" t="s">
        <v>174</v>
      </c>
      <c r="H7">
        <v>1</v>
      </c>
      <c r="J7" t="s">
        <v>100</v>
      </c>
      <c r="K7" t="s">
        <v>100</v>
      </c>
    </row>
    <row r="8" spans="1:11" x14ac:dyDescent="0.25">
      <c r="A8" t="s">
        <v>47</v>
      </c>
      <c r="B8">
        <v>88</v>
      </c>
      <c r="C8">
        <v>0</v>
      </c>
      <c r="D8" t="s">
        <v>174</v>
      </c>
      <c r="H8">
        <v>1</v>
      </c>
      <c r="J8" t="s">
        <v>100</v>
      </c>
      <c r="K8" t="s">
        <v>100</v>
      </c>
    </row>
    <row r="9" spans="1:11" x14ac:dyDescent="0.25">
      <c r="A9" t="s">
        <v>51</v>
      </c>
      <c r="B9">
        <v>85</v>
      </c>
      <c r="C9">
        <v>1</v>
      </c>
      <c r="D9" t="s">
        <v>174</v>
      </c>
      <c r="H9">
        <v>1</v>
      </c>
      <c r="J9" t="s">
        <v>100</v>
      </c>
      <c r="K9" t="s">
        <v>100</v>
      </c>
    </row>
    <row r="10" spans="1:11" x14ac:dyDescent="0.25">
      <c r="A10" t="s">
        <v>54</v>
      </c>
      <c r="B10">
        <v>96</v>
      </c>
      <c r="C10">
        <v>1</v>
      </c>
      <c r="D10" t="s">
        <v>174</v>
      </c>
      <c r="H10">
        <v>1</v>
      </c>
      <c r="J10" t="s">
        <v>100</v>
      </c>
      <c r="K10" t="s">
        <v>100</v>
      </c>
    </row>
    <row r="11" spans="1:11" x14ac:dyDescent="0.25">
      <c r="A11" t="s">
        <v>56</v>
      </c>
      <c r="B11">
        <v>96</v>
      </c>
      <c r="C11">
        <v>0</v>
      </c>
      <c r="D11" t="s">
        <v>174</v>
      </c>
      <c r="H11">
        <v>1</v>
      </c>
      <c r="J11" t="s">
        <v>100</v>
      </c>
      <c r="K11" t="s">
        <v>100</v>
      </c>
    </row>
    <row r="12" spans="1:11" x14ac:dyDescent="0.25">
      <c r="A12" t="s">
        <v>59</v>
      </c>
      <c r="B12">
        <v>99</v>
      </c>
      <c r="C12">
        <v>1</v>
      </c>
      <c r="D12" t="s">
        <v>174</v>
      </c>
      <c r="H12">
        <v>0</v>
      </c>
      <c r="J12" t="s">
        <v>100</v>
      </c>
      <c r="K12" t="s">
        <v>100</v>
      </c>
    </row>
    <row r="13" spans="1:11" x14ac:dyDescent="0.25">
      <c r="A13" t="s">
        <v>61</v>
      </c>
      <c r="B13">
        <v>81</v>
      </c>
      <c r="C13">
        <v>1</v>
      </c>
      <c r="D13" t="s">
        <v>174</v>
      </c>
      <c r="H13">
        <v>1</v>
      </c>
      <c r="J13" t="s">
        <v>100</v>
      </c>
      <c r="K13" t="s">
        <v>100</v>
      </c>
    </row>
    <row r="14" spans="1:11" x14ac:dyDescent="0.25">
      <c r="A14" t="s">
        <v>63</v>
      </c>
      <c r="B14">
        <v>90</v>
      </c>
      <c r="C14">
        <v>1</v>
      </c>
      <c r="D14" t="s">
        <v>174</v>
      </c>
      <c r="H14">
        <v>1</v>
      </c>
      <c r="J14" t="s">
        <v>100</v>
      </c>
      <c r="K14" t="s">
        <v>100</v>
      </c>
    </row>
    <row r="15" spans="1:11" x14ac:dyDescent="0.25">
      <c r="A15" t="s">
        <v>65</v>
      </c>
      <c r="B15">
        <v>95</v>
      </c>
      <c r="C15">
        <v>2</v>
      </c>
      <c r="D15" t="s">
        <v>174</v>
      </c>
      <c r="H15">
        <v>0</v>
      </c>
      <c r="J15" t="s">
        <v>100</v>
      </c>
      <c r="K15" t="s">
        <v>100</v>
      </c>
    </row>
    <row r="16" spans="1:11" x14ac:dyDescent="0.25">
      <c r="A16" t="s">
        <v>67</v>
      </c>
      <c r="B16">
        <v>91</v>
      </c>
      <c r="C16">
        <v>1</v>
      </c>
      <c r="D16" t="s">
        <v>174</v>
      </c>
      <c r="H16">
        <v>1</v>
      </c>
      <c r="J16" t="s">
        <v>100</v>
      </c>
      <c r="K16" t="s">
        <v>100</v>
      </c>
    </row>
    <row r="17" spans="1:11" x14ac:dyDescent="0.25">
      <c r="A17" t="s">
        <v>69</v>
      </c>
      <c r="B17">
        <v>84</v>
      </c>
      <c r="C17">
        <v>0</v>
      </c>
      <c r="D17" t="s">
        <v>174</v>
      </c>
      <c r="H17">
        <v>1</v>
      </c>
      <c r="J17" t="s">
        <v>100</v>
      </c>
      <c r="K17" t="s">
        <v>100</v>
      </c>
    </row>
    <row r="18" spans="1:11" x14ac:dyDescent="0.25">
      <c r="A18" t="s">
        <v>73</v>
      </c>
      <c r="B18">
        <v>93</v>
      </c>
      <c r="C18">
        <v>0</v>
      </c>
      <c r="D18" t="s">
        <v>174</v>
      </c>
      <c r="H18">
        <v>0</v>
      </c>
      <c r="J18" t="s">
        <v>100</v>
      </c>
      <c r="K18" t="s">
        <v>100</v>
      </c>
    </row>
    <row r="19" spans="1:11" x14ac:dyDescent="0.25">
      <c r="A19" t="s">
        <v>76</v>
      </c>
      <c r="B19">
        <v>94</v>
      </c>
      <c r="C19">
        <v>2</v>
      </c>
      <c r="D19" t="s">
        <v>174</v>
      </c>
      <c r="H19">
        <v>1</v>
      </c>
      <c r="J19" t="s">
        <v>100</v>
      </c>
      <c r="K19" t="s">
        <v>100</v>
      </c>
    </row>
    <row r="20" spans="1:11" x14ac:dyDescent="0.25">
      <c r="A20" t="s">
        <v>78</v>
      </c>
      <c r="B20">
        <v>99</v>
      </c>
      <c r="C20">
        <v>2</v>
      </c>
      <c r="D20" t="s">
        <v>174</v>
      </c>
      <c r="H20">
        <v>0</v>
      </c>
      <c r="J20" t="s">
        <v>100</v>
      </c>
      <c r="K20" t="s">
        <v>100</v>
      </c>
    </row>
    <row r="21" spans="1:11" x14ac:dyDescent="0.25">
      <c r="A21" t="s">
        <v>80</v>
      </c>
      <c r="B21">
        <v>83</v>
      </c>
      <c r="C21">
        <v>1</v>
      </c>
      <c r="D21" t="s">
        <v>174</v>
      </c>
      <c r="H21">
        <v>0</v>
      </c>
      <c r="J21" t="s">
        <v>100</v>
      </c>
      <c r="K21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1"/>
  <sheetViews>
    <sheetView workbookViewId="0">
      <selection activeCell="B21" sqref="B21"/>
    </sheetView>
  </sheetViews>
  <sheetFormatPr defaultRowHeight="15" x14ac:dyDescent="0.25"/>
  <sheetData>
    <row r="1" spans="1:9" x14ac:dyDescent="0.25">
      <c r="A1" t="s">
        <v>0</v>
      </c>
      <c r="B1" t="s">
        <v>3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181</v>
      </c>
    </row>
    <row r="2" spans="1:9" x14ac:dyDescent="0.25">
      <c r="A2" t="s">
        <v>18</v>
      </c>
      <c r="B2" t="s">
        <v>31</v>
      </c>
      <c r="C2" t="s">
        <v>182</v>
      </c>
      <c r="D2" t="s">
        <v>100</v>
      </c>
      <c r="E2" t="s">
        <v>98</v>
      </c>
      <c r="F2" t="s">
        <v>98</v>
      </c>
      <c r="G2" t="s">
        <v>98</v>
      </c>
      <c r="H2" t="s">
        <v>100</v>
      </c>
      <c r="I2" t="s">
        <v>100</v>
      </c>
    </row>
    <row r="3" spans="1:9" x14ac:dyDescent="0.25">
      <c r="A3" t="s">
        <v>30</v>
      </c>
      <c r="B3" t="s">
        <v>31</v>
      </c>
      <c r="C3" t="s">
        <v>183</v>
      </c>
      <c r="D3" t="s">
        <v>98</v>
      </c>
      <c r="E3" t="s">
        <v>98</v>
      </c>
      <c r="F3" t="s">
        <v>100</v>
      </c>
      <c r="G3" t="s">
        <v>100</v>
      </c>
      <c r="H3" t="s">
        <v>98</v>
      </c>
      <c r="I3" t="s">
        <v>98</v>
      </c>
    </row>
    <row r="4" spans="1:9" x14ac:dyDescent="0.25">
      <c r="A4" t="s">
        <v>34</v>
      </c>
      <c r="B4" t="s">
        <v>19</v>
      </c>
      <c r="C4" t="s">
        <v>183</v>
      </c>
      <c r="D4" t="s">
        <v>100</v>
      </c>
      <c r="E4" t="s">
        <v>98</v>
      </c>
      <c r="F4" t="s">
        <v>100</v>
      </c>
      <c r="G4" t="s">
        <v>100</v>
      </c>
      <c r="H4" t="s">
        <v>100</v>
      </c>
      <c r="I4" t="s">
        <v>100</v>
      </c>
    </row>
    <row r="5" spans="1:9" x14ac:dyDescent="0.25">
      <c r="A5" t="s">
        <v>38</v>
      </c>
      <c r="B5" t="s">
        <v>19</v>
      </c>
      <c r="C5" t="s">
        <v>184</v>
      </c>
      <c r="D5" t="s">
        <v>100</v>
      </c>
      <c r="E5" t="s">
        <v>100</v>
      </c>
      <c r="F5" t="s">
        <v>100</v>
      </c>
      <c r="G5" t="s">
        <v>100</v>
      </c>
      <c r="H5" t="s">
        <v>100</v>
      </c>
      <c r="I5" t="s">
        <v>100</v>
      </c>
    </row>
    <row r="6" spans="1:9" x14ac:dyDescent="0.25">
      <c r="A6" t="s">
        <v>41</v>
      </c>
      <c r="B6" t="s">
        <v>19</v>
      </c>
      <c r="C6" t="s">
        <v>184</v>
      </c>
      <c r="D6" t="s">
        <v>100</v>
      </c>
      <c r="E6" t="s">
        <v>100</v>
      </c>
      <c r="F6" t="s">
        <v>98</v>
      </c>
      <c r="G6" t="s">
        <v>100</v>
      </c>
      <c r="H6" t="s">
        <v>100</v>
      </c>
      <c r="I6" t="s">
        <v>100</v>
      </c>
    </row>
    <row r="7" spans="1:9" x14ac:dyDescent="0.25">
      <c r="A7" t="s">
        <v>44</v>
      </c>
      <c r="B7" t="s">
        <v>19</v>
      </c>
      <c r="C7" t="s">
        <v>184</v>
      </c>
      <c r="D7" t="s">
        <v>100</v>
      </c>
      <c r="E7" t="s">
        <v>100</v>
      </c>
      <c r="F7" t="s">
        <v>100</v>
      </c>
      <c r="G7" t="s">
        <v>100</v>
      </c>
      <c r="H7" t="s">
        <v>98</v>
      </c>
      <c r="I7" t="s">
        <v>98</v>
      </c>
    </row>
    <row r="8" spans="1:9" x14ac:dyDescent="0.25">
      <c r="A8" t="s">
        <v>47</v>
      </c>
      <c r="B8" t="s">
        <v>19</v>
      </c>
      <c r="C8" t="s">
        <v>183</v>
      </c>
      <c r="D8" t="s">
        <v>100</v>
      </c>
      <c r="E8" t="s">
        <v>100</v>
      </c>
      <c r="F8" t="s">
        <v>100</v>
      </c>
      <c r="G8" t="s">
        <v>100</v>
      </c>
      <c r="H8" t="s">
        <v>100</v>
      </c>
      <c r="I8" t="s">
        <v>100</v>
      </c>
    </row>
    <row r="9" spans="1:9" x14ac:dyDescent="0.25">
      <c r="A9" t="s">
        <v>51</v>
      </c>
      <c r="B9" t="s">
        <v>19</v>
      </c>
      <c r="C9" t="s">
        <v>183</v>
      </c>
      <c r="D9" t="s">
        <v>100</v>
      </c>
      <c r="E9" t="s">
        <v>100</v>
      </c>
      <c r="F9" t="s">
        <v>100</v>
      </c>
      <c r="G9" t="s">
        <v>100</v>
      </c>
      <c r="H9" t="s">
        <v>100</v>
      </c>
      <c r="I9" t="s">
        <v>100</v>
      </c>
    </row>
    <row r="10" spans="1:9" x14ac:dyDescent="0.25">
      <c r="A10" t="s">
        <v>54</v>
      </c>
      <c r="B10" t="s">
        <v>19</v>
      </c>
      <c r="C10" t="s">
        <v>185</v>
      </c>
      <c r="D10" t="s">
        <v>100</v>
      </c>
      <c r="E10" t="s">
        <v>100</v>
      </c>
      <c r="F10" t="s">
        <v>100</v>
      </c>
      <c r="G10" t="s">
        <v>100</v>
      </c>
      <c r="H10" t="s">
        <v>100</v>
      </c>
      <c r="I10" t="s">
        <v>100</v>
      </c>
    </row>
    <row r="11" spans="1:9" x14ac:dyDescent="0.25">
      <c r="A11" t="s">
        <v>56</v>
      </c>
      <c r="B11" t="s">
        <v>31</v>
      </c>
      <c r="C11" t="s">
        <v>184</v>
      </c>
      <c r="D11" t="s">
        <v>100</v>
      </c>
      <c r="E11" t="s">
        <v>98</v>
      </c>
      <c r="F11" t="s">
        <v>100</v>
      </c>
      <c r="G11" t="s">
        <v>100</v>
      </c>
      <c r="H11" t="s">
        <v>100</v>
      </c>
      <c r="I11" t="s">
        <v>100</v>
      </c>
    </row>
    <row r="12" spans="1:9" x14ac:dyDescent="0.25">
      <c r="A12" t="s">
        <v>59</v>
      </c>
      <c r="B12" t="s">
        <v>31</v>
      </c>
      <c r="C12" t="s">
        <v>182</v>
      </c>
      <c r="D12" t="s">
        <v>100</v>
      </c>
      <c r="E12" t="s">
        <v>100</v>
      </c>
      <c r="F12" t="s">
        <v>98</v>
      </c>
      <c r="G12" t="s">
        <v>100</v>
      </c>
      <c r="H12" t="s">
        <v>100</v>
      </c>
      <c r="I12" t="s">
        <v>100</v>
      </c>
    </row>
    <row r="13" spans="1:9" x14ac:dyDescent="0.25">
      <c r="A13" t="s">
        <v>61</v>
      </c>
      <c r="B13" t="s">
        <v>19</v>
      </c>
      <c r="C13" t="s">
        <v>182</v>
      </c>
      <c r="D13" t="s">
        <v>100</v>
      </c>
      <c r="E13" t="s">
        <v>98</v>
      </c>
      <c r="F13" t="s">
        <v>100</v>
      </c>
      <c r="G13" t="s">
        <v>100</v>
      </c>
      <c r="H13" t="s">
        <v>100</v>
      </c>
      <c r="I13" t="s">
        <v>100</v>
      </c>
    </row>
    <row r="14" spans="1:9" x14ac:dyDescent="0.25">
      <c r="A14" t="s">
        <v>63</v>
      </c>
      <c r="B14" t="s">
        <v>31</v>
      </c>
      <c r="C14" t="s">
        <v>185</v>
      </c>
      <c r="D14" t="s">
        <v>100</v>
      </c>
      <c r="E14" t="s">
        <v>98</v>
      </c>
      <c r="F14" t="s">
        <v>100</v>
      </c>
      <c r="G14" t="s">
        <v>100</v>
      </c>
      <c r="H14" t="s">
        <v>100</v>
      </c>
      <c r="I14" t="s">
        <v>98</v>
      </c>
    </row>
    <row r="15" spans="1:9" x14ac:dyDescent="0.25">
      <c r="A15" t="s">
        <v>65</v>
      </c>
      <c r="B15" t="s">
        <v>19</v>
      </c>
      <c r="C15" t="s">
        <v>184</v>
      </c>
      <c r="D15" t="s">
        <v>100</v>
      </c>
      <c r="E15" t="s">
        <v>98</v>
      </c>
      <c r="F15" t="s">
        <v>100</v>
      </c>
      <c r="G15" t="s">
        <v>100</v>
      </c>
      <c r="H15" t="s">
        <v>100</v>
      </c>
      <c r="I15" t="s">
        <v>100</v>
      </c>
    </row>
    <row r="16" spans="1:9" x14ac:dyDescent="0.25">
      <c r="A16" t="s">
        <v>67</v>
      </c>
      <c r="B16" t="s">
        <v>19</v>
      </c>
      <c r="C16" t="s">
        <v>182</v>
      </c>
      <c r="D16" t="s">
        <v>100</v>
      </c>
      <c r="E16" t="s">
        <v>100</v>
      </c>
      <c r="F16" t="s">
        <v>100</v>
      </c>
      <c r="G16" t="s">
        <v>100</v>
      </c>
      <c r="H16" t="s">
        <v>100</v>
      </c>
      <c r="I16" t="s">
        <v>100</v>
      </c>
    </row>
    <row r="17" spans="1:9" x14ac:dyDescent="0.25">
      <c r="A17" t="s">
        <v>69</v>
      </c>
      <c r="B17" t="s">
        <v>19</v>
      </c>
      <c r="C17" t="s">
        <v>185</v>
      </c>
      <c r="D17" t="s">
        <v>98</v>
      </c>
      <c r="E17" t="s">
        <v>100</v>
      </c>
      <c r="F17" t="s">
        <v>100</v>
      </c>
      <c r="G17" t="s">
        <v>100</v>
      </c>
      <c r="H17" t="s">
        <v>100</v>
      </c>
      <c r="I17" t="s">
        <v>100</v>
      </c>
    </row>
    <row r="18" spans="1:9" x14ac:dyDescent="0.25">
      <c r="A18" t="s">
        <v>73</v>
      </c>
      <c r="B18" t="s">
        <v>19</v>
      </c>
      <c r="C18" t="s">
        <v>182</v>
      </c>
      <c r="D18" t="s">
        <v>100</v>
      </c>
      <c r="E18" t="s">
        <v>100</v>
      </c>
      <c r="F18" t="s">
        <v>100</v>
      </c>
      <c r="G18" t="s">
        <v>100</v>
      </c>
      <c r="H18" t="s">
        <v>100</v>
      </c>
      <c r="I18" t="s">
        <v>100</v>
      </c>
    </row>
    <row r="19" spans="1:9" x14ac:dyDescent="0.25">
      <c r="A19" t="s">
        <v>76</v>
      </c>
      <c r="B19" t="s">
        <v>19</v>
      </c>
      <c r="C19" t="s">
        <v>182</v>
      </c>
      <c r="D19" t="s">
        <v>100</v>
      </c>
      <c r="E19" t="s">
        <v>100</v>
      </c>
      <c r="F19" t="s">
        <v>100</v>
      </c>
      <c r="G19" t="s">
        <v>100</v>
      </c>
      <c r="H19" t="s">
        <v>98</v>
      </c>
      <c r="I19" t="s">
        <v>100</v>
      </c>
    </row>
    <row r="20" spans="1:9" x14ac:dyDescent="0.25">
      <c r="A20" t="s">
        <v>78</v>
      </c>
      <c r="B20" t="s">
        <v>19</v>
      </c>
      <c r="C20" t="s">
        <v>184</v>
      </c>
      <c r="D20" t="s">
        <v>100</v>
      </c>
      <c r="E20" t="s">
        <v>100</v>
      </c>
      <c r="F20" t="s">
        <v>100</v>
      </c>
      <c r="G20" t="s">
        <v>100</v>
      </c>
      <c r="H20" t="s">
        <v>100</v>
      </c>
      <c r="I20" t="s">
        <v>100</v>
      </c>
    </row>
    <row r="21" spans="1:9" x14ac:dyDescent="0.25">
      <c r="A21" t="s">
        <v>80</v>
      </c>
      <c r="B21" t="s">
        <v>31</v>
      </c>
      <c r="C21" t="s">
        <v>184</v>
      </c>
      <c r="D21" t="s">
        <v>100</v>
      </c>
      <c r="E21" t="s">
        <v>100</v>
      </c>
      <c r="F21" t="s">
        <v>100</v>
      </c>
      <c r="G21" t="s">
        <v>100</v>
      </c>
      <c r="H21" t="s">
        <v>98</v>
      </c>
      <c r="I21" t="s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6"/>
  <sheetViews>
    <sheetView workbookViewId="0">
      <selection activeCell="F1" sqref="F1"/>
    </sheetView>
  </sheetViews>
  <sheetFormatPr defaultRowHeight="15" x14ac:dyDescent="0.25"/>
  <sheetData>
    <row r="1" spans="1:12" x14ac:dyDescent="0.25">
      <c r="A1" t="s">
        <v>186</v>
      </c>
      <c r="B1" t="s">
        <v>0</v>
      </c>
      <c r="C1" t="s">
        <v>101</v>
      </c>
      <c r="D1" t="s">
        <v>286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12</v>
      </c>
      <c r="K1" t="s">
        <v>13</v>
      </c>
      <c r="L1" t="s">
        <v>14</v>
      </c>
    </row>
    <row r="2" spans="1:12" x14ac:dyDescent="0.25">
      <c r="A2" t="s">
        <v>192</v>
      </c>
      <c r="B2" t="s">
        <v>54</v>
      </c>
      <c r="C2" t="s">
        <v>46</v>
      </c>
      <c r="D2" t="s">
        <v>34</v>
      </c>
      <c r="E2" t="s">
        <v>193</v>
      </c>
      <c r="F2">
        <v>15</v>
      </c>
      <c r="G2">
        <v>2</v>
      </c>
      <c r="H2" t="s">
        <v>194</v>
      </c>
      <c r="I2" t="s">
        <v>195</v>
      </c>
      <c r="J2" t="s">
        <v>24</v>
      </c>
      <c r="K2" t="s">
        <v>25</v>
      </c>
      <c r="L2" t="s">
        <v>26</v>
      </c>
    </row>
    <row r="3" spans="1:12" x14ac:dyDescent="0.25">
      <c r="A3" t="s">
        <v>196</v>
      </c>
      <c r="B3" t="s">
        <v>69</v>
      </c>
      <c r="C3" t="s">
        <v>58</v>
      </c>
      <c r="D3" t="s">
        <v>47</v>
      </c>
      <c r="E3" t="s">
        <v>197</v>
      </c>
      <c r="F3">
        <v>21</v>
      </c>
      <c r="G3">
        <v>3</v>
      </c>
      <c r="H3" t="s">
        <v>198</v>
      </c>
      <c r="I3" t="s">
        <v>195</v>
      </c>
      <c r="J3" t="s">
        <v>24</v>
      </c>
      <c r="K3" t="s">
        <v>25</v>
      </c>
      <c r="L3" t="s">
        <v>26</v>
      </c>
    </row>
    <row r="4" spans="1:12" x14ac:dyDescent="0.25">
      <c r="A4" t="s">
        <v>199</v>
      </c>
      <c r="B4" t="s">
        <v>38</v>
      </c>
      <c r="C4" t="s">
        <v>75</v>
      </c>
      <c r="D4" t="s">
        <v>69</v>
      </c>
      <c r="E4" t="s">
        <v>200</v>
      </c>
      <c r="F4">
        <v>23</v>
      </c>
      <c r="G4">
        <v>2</v>
      </c>
      <c r="H4" t="s">
        <v>198</v>
      </c>
      <c r="I4" t="s">
        <v>195</v>
      </c>
      <c r="J4" t="s">
        <v>24</v>
      </c>
      <c r="K4" t="s">
        <v>25</v>
      </c>
      <c r="L4" t="s">
        <v>26</v>
      </c>
    </row>
    <row r="5" spans="1:12" x14ac:dyDescent="0.25">
      <c r="A5" t="s">
        <v>201</v>
      </c>
      <c r="B5" t="s">
        <v>44</v>
      </c>
      <c r="C5" t="s">
        <v>58</v>
      </c>
      <c r="D5" t="s">
        <v>47</v>
      </c>
      <c r="E5" t="s">
        <v>193</v>
      </c>
      <c r="F5">
        <v>58</v>
      </c>
      <c r="G5">
        <v>3</v>
      </c>
      <c r="H5" t="s">
        <v>198</v>
      </c>
      <c r="I5" t="s">
        <v>195</v>
      </c>
      <c r="J5" t="s">
        <v>24</v>
      </c>
      <c r="K5" t="s">
        <v>25</v>
      </c>
      <c r="L5" t="s">
        <v>26</v>
      </c>
    </row>
    <row r="6" spans="1:12" x14ac:dyDescent="0.25">
      <c r="A6" t="s">
        <v>202</v>
      </c>
      <c r="B6" t="s">
        <v>54</v>
      </c>
      <c r="C6" t="s">
        <v>75</v>
      </c>
      <c r="D6" t="s">
        <v>69</v>
      </c>
      <c r="E6" t="s">
        <v>193</v>
      </c>
      <c r="F6">
        <v>24</v>
      </c>
      <c r="G6">
        <v>1</v>
      </c>
      <c r="H6" t="s">
        <v>203</v>
      </c>
      <c r="I6" t="s">
        <v>195</v>
      </c>
      <c r="J6" t="s">
        <v>24</v>
      </c>
      <c r="K6" t="s">
        <v>25</v>
      </c>
      <c r="L6" t="s">
        <v>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204</v>
      </c>
      <c r="C1" t="s">
        <v>205</v>
      </c>
      <c r="D1" t="s">
        <v>206</v>
      </c>
      <c r="E1" t="s">
        <v>207</v>
      </c>
      <c r="F1" t="s">
        <v>208</v>
      </c>
      <c r="G1" t="s">
        <v>209</v>
      </c>
      <c r="H1" t="s">
        <v>210</v>
      </c>
      <c r="I1" t="s">
        <v>211</v>
      </c>
    </row>
    <row r="2" spans="1:9" x14ac:dyDescent="0.25">
      <c r="A2" t="s">
        <v>18</v>
      </c>
      <c r="B2">
        <v>105699</v>
      </c>
      <c r="C2">
        <v>1408</v>
      </c>
      <c r="D2">
        <v>118</v>
      </c>
      <c r="E2" t="s">
        <v>160</v>
      </c>
      <c r="F2" t="s">
        <v>129</v>
      </c>
      <c r="G2" t="s">
        <v>212</v>
      </c>
      <c r="H2">
        <v>5</v>
      </c>
      <c r="I2" t="s">
        <v>98</v>
      </c>
    </row>
    <row r="3" spans="1:9" x14ac:dyDescent="0.25">
      <c r="A3" t="s">
        <v>30</v>
      </c>
      <c r="B3">
        <v>124603</v>
      </c>
      <c r="C3">
        <v>4378</v>
      </c>
      <c r="D3">
        <v>84</v>
      </c>
      <c r="E3" t="s">
        <v>213</v>
      </c>
      <c r="F3" t="s">
        <v>132</v>
      </c>
      <c r="G3" t="s">
        <v>214</v>
      </c>
      <c r="H3">
        <v>3</v>
      </c>
      <c r="I3" t="s">
        <v>98</v>
      </c>
    </row>
    <row r="4" spans="1:9" x14ac:dyDescent="0.25">
      <c r="A4" t="s">
        <v>34</v>
      </c>
      <c r="B4">
        <v>84572</v>
      </c>
      <c r="C4">
        <v>2336</v>
      </c>
      <c r="D4">
        <v>74</v>
      </c>
      <c r="E4" t="s">
        <v>215</v>
      </c>
      <c r="F4" t="s">
        <v>129</v>
      </c>
      <c r="G4" t="s">
        <v>212</v>
      </c>
      <c r="H4">
        <v>2</v>
      </c>
      <c r="I4" t="s">
        <v>100</v>
      </c>
    </row>
    <row r="5" spans="1:9" x14ac:dyDescent="0.25">
      <c r="A5" t="s">
        <v>38</v>
      </c>
      <c r="B5">
        <v>186376</v>
      </c>
      <c r="C5">
        <v>3221</v>
      </c>
      <c r="D5">
        <v>117</v>
      </c>
      <c r="E5" t="s">
        <v>216</v>
      </c>
      <c r="F5" t="s">
        <v>129</v>
      </c>
      <c r="G5" t="s">
        <v>212</v>
      </c>
      <c r="H5">
        <v>1</v>
      </c>
      <c r="I5" t="s">
        <v>100</v>
      </c>
    </row>
    <row r="6" spans="1:9" x14ac:dyDescent="0.25">
      <c r="A6" t="s">
        <v>41</v>
      </c>
      <c r="B6">
        <v>117409</v>
      </c>
      <c r="C6">
        <v>4103</v>
      </c>
      <c r="D6">
        <v>71</v>
      </c>
      <c r="E6" t="s">
        <v>217</v>
      </c>
      <c r="F6" t="s">
        <v>129</v>
      </c>
      <c r="G6" t="s">
        <v>218</v>
      </c>
      <c r="H6">
        <v>1</v>
      </c>
      <c r="I6" t="s">
        <v>100</v>
      </c>
    </row>
    <row r="7" spans="1:9" x14ac:dyDescent="0.25">
      <c r="A7" t="s">
        <v>44</v>
      </c>
      <c r="B7">
        <v>86245</v>
      </c>
      <c r="C7">
        <v>3574</v>
      </c>
      <c r="D7">
        <v>104</v>
      </c>
      <c r="E7" t="s">
        <v>219</v>
      </c>
      <c r="F7" t="s">
        <v>129</v>
      </c>
      <c r="G7" t="s">
        <v>214</v>
      </c>
      <c r="H7">
        <v>2</v>
      </c>
      <c r="I7" t="s">
        <v>98</v>
      </c>
    </row>
    <row r="8" spans="1:9" x14ac:dyDescent="0.25">
      <c r="A8" t="s">
        <v>47</v>
      </c>
      <c r="B8">
        <v>72341</v>
      </c>
      <c r="C8">
        <v>1536</v>
      </c>
      <c r="D8">
        <v>97</v>
      </c>
      <c r="E8" t="s">
        <v>217</v>
      </c>
      <c r="F8" t="s">
        <v>132</v>
      </c>
      <c r="G8" t="s">
        <v>218</v>
      </c>
      <c r="H8">
        <v>5</v>
      </c>
      <c r="I8" t="s">
        <v>98</v>
      </c>
    </row>
    <row r="9" spans="1:9" x14ac:dyDescent="0.25">
      <c r="A9" t="s">
        <v>51</v>
      </c>
      <c r="B9">
        <v>171838</v>
      </c>
      <c r="C9">
        <v>1595</v>
      </c>
      <c r="D9">
        <v>112</v>
      </c>
      <c r="E9" t="s">
        <v>220</v>
      </c>
      <c r="F9" t="s">
        <v>124</v>
      </c>
      <c r="G9" t="s">
        <v>214</v>
      </c>
      <c r="H9">
        <v>1</v>
      </c>
      <c r="I9" t="s">
        <v>98</v>
      </c>
    </row>
    <row r="10" spans="1:9" x14ac:dyDescent="0.25">
      <c r="A10" t="s">
        <v>54</v>
      </c>
      <c r="B10">
        <v>171808</v>
      </c>
      <c r="C10">
        <v>4098</v>
      </c>
      <c r="D10">
        <v>103</v>
      </c>
      <c r="E10" t="s">
        <v>221</v>
      </c>
      <c r="F10" t="s">
        <v>129</v>
      </c>
      <c r="G10" t="s">
        <v>218</v>
      </c>
      <c r="H10">
        <v>3</v>
      </c>
      <c r="I10" t="s">
        <v>98</v>
      </c>
    </row>
    <row r="11" spans="1:9" x14ac:dyDescent="0.25">
      <c r="A11" t="s">
        <v>56</v>
      </c>
      <c r="B11">
        <v>146780</v>
      </c>
      <c r="C11">
        <v>3939</v>
      </c>
      <c r="D11">
        <v>118</v>
      </c>
      <c r="E11" t="s">
        <v>222</v>
      </c>
      <c r="F11" t="s">
        <v>124</v>
      </c>
      <c r="G11" t="s">
        <v>212</v>
      </c>
      <c r="H11">
        <v>2</v>
      </c>
      <c r="I11" t="s">
        <v>100</v>
      </c>
    </row>
    <row r="12" spans="1:9" x14ac:dyDescent="0.25">
      <c r="A12" t="s">
        <v>59</v>
      </c>
      <c r="B12">
        <v>106362</v>
      </c>
      <c r="C12">
        <v>1758</v>
      </c>
      <c r="D12">
        <v>102</v>
      </c>
      <c r="E12" t="s">
        <v>219</v>
      </c>
      <c r="F12" t="s">
        <v>132</v>
      </c>
      <c r="G12" t="s">
        <v>218</v>
      </c>
      <c r="H12">
        <v>4</v>
      </c>
      <c r="I12" t="s">
        <v>100</v>
      </c>
    </row>
    <row r="13" spans="1:9" x14ac:dyDescent="0.25">
      <c r="A13" t="s">
        <v>61</v>
      </c>
      <c r="B13">
        <v>179282</v>
      </c>
      <c r="C13">
        <v>4360</v>
      </c>
      <c r="D13">
        <v>97</v>
      </c>
      <c r="E13" t="s">
        <v>222</v>
      </c>
      <c r="F13" t="s">
        <v>124</v>
      </c>
      <c r="G13" t="s">
        <v>214</v>
      </c>
      <c r="H13">
        <v>5</v>
      </c>
      <c r="I13" t="s">
        <v>100</v>
      </c>
    </row>
    <row r="14" spans="1:9" x14ac:dyDescent="0.25">
      <c r="A14" t="s">
        <v>63</v>
      </c>
      <c r="B14">
        <v>179159</v>
      </c>
      <c r="C14">
        <v>2751</v>
      </c>
      <c r="D14">
        <v>104</v>
      </c>
      <c r="E14" t="s">
        <v>223</v>
      </c>
      <c r="F14" t="s">
        <v>124</v>
      </c>
      <c r="G14" t="s">
        <v>212</v>
      </c>
      <c r="H14">
        <v>4</v>
      </c>
      <c r="I14" t="s">
        <v>98</v>
      </c>
    </row>
    <row r="15" spans="1:9" x14ac:dyDescent="0.25">
      <c r="A15" t="s">
        <v>65</v>
      </c>
      <c r="B15">
        <v>189123</v>
      </c>
      <c r="C15">
        <v>4363</v>
      </c>
      <c r="D15">
        <v>104</v>
      </c>
      <c r="E15" t="s">
        <v>159</v>
      </c>
      <c r="F15" t="s">
        <v>129</v>
      </c>
      <c r="G15" t="s">
        <v>214</v>
      </c>
      <c r="H15">
        <v>1</v>
      </c>
      <c r="I15" t="s">
        <v>100</v>
      </c>
    </row>
    <row r="16" spans="1:9" x14ac:dyDescent="0.25">
      <c r="A16" t="s">
        <v>67</v>
      </c>
      <c r="B16">
        <v>77032</v>
      </c>
      <c r="C16">
        <v>3671</v>
      </c>
      <c r="D16">
        <v>93</v>
      </c>
      <c r="E16" t="s">
        <v>220</v>
      </c>
      <c r="F16" t="s">
        <v>132</v>
      </c>
      <c r="G16" t="s">
        <v>214</v>
      </c>
      <c r="H16">
        <v>2</v>
      </c>
      <c r="I16" t="s">
        <v>98</v>
      </c>
    </row>
    <row r="17" spans="1:9" x14ac:dyDescent="0.25">
      <c r="A17" t="s">
        <v>69</v>
      </c>
      <c r="B17">
        <v>143108</v>
      </c>
      <c r="C17">
        <v>610</v>
      </c>
      <c r="D17">
        <v>92</v>
      </c>
      <c r="E17" t="s">
        <v>224</v>
      </c>
      <c r="F17" t="s">
        <v>124</v>
      </c>
      <c r="G17" t="s">
        <v>212</v>
      </c>
      <c r="H17">
        <v>4</v>
      </c>
      <c r="I17" t="s">
        <v>100</v>
      </c>
    </row>
    <row r="18" spans="1:9" x14ac:dyDescent="0.25">
      <c r="A18" t="s">
        <v>73</v>
      </c>
      <c r="B18">
        <v>85462</v>
      </c>
      <c r="C18">
        <v>2522</v>
      </c>
      <c r="D18">
        <v>78</v>
      </c>
      <c r="E18" t="s">
        <v>224</v>
      </c>
      <c r="F18" t="s">
        <v>124</v>
      </c>
      <c r="G18" t="s">
        <v>214</v>
      </c>
      <c r="H18">
        <v>4</v>
      </c>
      <c r="I18" t="s">
        <v>98</v>
      </c>
    </row>
    <row r="19" spans="1:9" x14ac:dyDescent="0.25">
      <c r="A19" t="s">
        <v>76</v>
      </c>
      <c r="B19">
        <v>112230</v>
      </c>
      <c r="C19">
        <v>3115</v>
      </c>
      <c r="D19">
        <v>88</v>
      </c>
      <c r="E19" t="s">
        <v>225</v>
      </c>
      <c r="F19" t="s">
        <v>132</v>
      </c>
      <c r="G19" t="s">
        <v>212</v>
      </c>
      <c r="H19">
        <v>3</v>
      </c>
      <c r="I19" t="s">
        <v>100</v>
      </c>
    </row>
    <row r="20" spans="1:9" x14ac:dyDescent="0.25">
      <c r="A20" t="s">
        <v>78</v>
      </c>
      <c r="B20">
        <v>195892</v>
      </c>
      <c r="C20">
        <v>2696</v>
      </c>
      <c r="D20">
        <v>87</v>
      </c>
      <c r="E20" t="s">
        <v>155</v>
      </c>
      <c r="F20" t="s">
        <v>132</v>
      </c>
      <c r="G20" t="s">
        <v>218</v>
      </c>
      <c r="H20">
        <v>4</v>
      </c>
      <c r="I20" t="s">
        <v>98</v>
      </c>
    </row>
    <row r="21" spans="1:9" x14ac:dyDescent="0.25">
      <c r="A21" t="s">
        <v>80</v>
      </c>
      <c r="B21">
        <v>103456</v>
      </c>
      <c r="C21">
        <v>570</v>
      </c>
      <c r="D21">
        <v>86</v>
      </c>
      <c r="E21" t="s">
        <v>226</v>
      </c>
      <c r="F21" t="s">
        <v>129</v>
      </c>
      <c r="G21" t="s">
        <v>212</v>
      </c>
      <c r="H21">
        <v>5</v>
      </c>
      <c r="I21" t="s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3"/>
  <sheetViews>
    <sheetView workbookViewId="0"/>
  </sheetViews>
  <sheetFormatPr defaultRowHeight="15" x14ac:dyDescent="0.25"/>
  <cols>
    <col min="1" max="1" width="10" bestFit="1" customWidth="1"/>
  </cols>
  <sheetData>
    <row r="1" spans="1:7" x14ac:dyDescent="0.25">
      <c r="A1" t="s">
        <v>167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</row>
    <row r="2" spans="1:7" x14ac:dyDescent="0.25">
      <c r="A2" s="1">
        <v>44927</v>
      </c>
      <c r="B2">
        <v>3.35</v>
      </c>
      <c r="C2">
        <v>3.86</v>
      </c>
      <c r="D2">
        <v>19</v>
      </c>
      <c r="E2">
        <v>79676</v>
      </c>
      <c r="F2">
        <v>81.93</v>
      </c>
      <c r="G2">
        <v>1329</v>
      </c>
    </row>
    <row r="3" spans="1:7" x14ac:dyDescent="0.25">
      <c r="A3" s="1">
        <v>44958</v>
      </c>
      <c r="B3">
        <v>2.8</v>
      </c>
      <c r="C3">
        <v>5.52</v>
      </c>
      <c r="D3">
        <v>11.75</v>
      </c>
      <c r="E3">
        <v>113612</v>
      </c>
      <c r="F3">
        <v>113.93</v>
      </c>
      <c r="G3">
        <v>2045</v>
      </c>
    </row>
    <row r="4" spans="1:7" x14ac:dyDescent="0.25">
      <c r="A4" s="1">
        <v>44986</v>
      </c>
      <c r="B4">
        <v>4.28</v>
      </c>
      <c r="C4">
        <v>5.32</v>
      </c>
      <c r="D4">
        <v>17.670000000000002</v>
      </c>
      <c r="E4">
        <v>100195</v>
      </c>
      <c r="F4">
        <v>106.59</v>
      </c>
      <c r="G4">
        <v>3093</v>
      </c>
    </row>
    <row r="5" spans="1:7" x14ac:dyDescent="0.25">
      <c r="A5" s="1">
        <v>45017</v>
      </c>
      <c r="B5">
        <v>3.97</v>
      </c>
      <c r="C5">
        <v>4.16</v>
      </c>
      <c r="D5">
        <v>14.69</v>
      </c>
      <c r="E5">
        <v>96703</v>
      </c>
      <c r="F5">
        <v>117.27</v>
      </c>
      <c r="G5">
        <v>3047</v>
      </c>
    </row>
    <row r="6" spans="1:7" x14ac:dyDescent="0.25">
      <c r="A6" s="1">
        <v>45047</v>
      </c>
      <c r="B6">
        <v>3.71</v>
      </c>
      <c r="C6">
        <v>3.77</v>
      </c>
      <c r="D6">
        <v>10</v>
      </c>
      <c r="E6">
        <v>108864</v>
      </c>
      <c r="F6">
        <v>100.17</v>
      </c>
      <c r="G6">
        <v>1566</v>
      </c>
    </row>
    <row r="7" spans="1:7" x14ac:dyDescent="0.25">
      <c r="A7" s="1">
        <v>45078</v>
      </c>
      <c r="B7">
        <v>2.94</v>
      </c>
      <c r="C7">
        <v>4.47</v>
      </c>
      <c r="D7">
        <v>19.82</v>
      </c>
      <c r="E7">
        <v>72341</v>
      </c>
      <c r="F7">
        <v>86.42</v>
      </c>
      <c r="G7">
        <v>3602</v>
      </c>
    </row>
    <row r="8" spans="1:7" x14ac:dyDescent="0.25">
      <c r="A8" s="1">
        <v>45108</v>
      </c>
      <c r="B8">
        <v>3.63</v>
      </c>
      <c r="C8">
        <v>3.82</v>
      </c>
      <c r="D8">
        <v>11.22</v>
      </c>
      <c r="E8">
        <v>87018</v>
      </c>
      <c r="F8">
        <v>80.84</v>
      </c>
      <c r="G8">
        <v>2512</v>
      </c>
    </row>
    <row r="9" spans="1:7" x14ac:dyDescent="0.25">
      <c r="A9" s="1">
        <v>45139</v>
      </c>
      <c r="B9">
        <v>4.8499999999999996</v>
      </c>
      <c r="C9">
        <v>4.71</v>
      </c>
      <c r="D9">
        <v>11.77</v>
      </c>
      <c r="E9">
        <v>108041</v>
      </c>
      <c r="F9">
        <v>86.05</v>
      </c>
      <c r="G9">
        <v>3742</v>
      </c>
    </row>
    <row r="10" spans="1:7" x14ac:dyDescent="0.25">
      <c r="A10" s="1">
        <v>45170</v>
      </c>
      <c r="B10">
        <v>2.69</v>
      </c>
      <c r="C10">
        <v>4.29</v>
      </c>
      <c r="D10">
        <v>13.97</v>
      </c>
      <c r="E10">
        <v>80188</v>
      </c>
      <c r="F10">
        <v>100.89</v>
      </c>
      <c r="G10">
        <v>4773</v>
      </c>
    </row>
    <row r="11" spans="1:7" x14ac:dyDescent="0.25">
      <c r="A11" s="1">
        <v>45200</v>
      </c>
      <c r="B11">
        <v>4.88</v>
      </c>
      <c r="C11">
        <v>3.25</v>
      </c>
      <c r="D11">
        <v>14.79</v>
      </c>
      <c r="E11">
        <v>115275</v>
      </c>
      <c r="F11">
        <v>98.06</v>
      </c>
      <c r="G11">
        <v>1746</v>
      </c>
    </row>
    <row r="12" spans="1:7" x14ac:dyDescent="0.25">
      <c r="A12" s="1">
        <v>45231</v>
      </c>
      <c r="B12">
        <v>3.33</v>
      </c>
      <c r="C12">
        <v>4.8499999999999996</v>
      </c>
      <c r="D12">
        <v>19.93</v>
      </c>
      <c r="E12">
        <v>79136</v>
      </c>
      <c r="F12">
        <v>86.24</v>
      </c>
      <c r="G12">
        <v>1589</v>
      </c>
    </row>
    <row r="13" spans="1:7" x14ac:dyDescent="0.25">
      <c r="A13" s="1">
        <v>45261</v>
      </c>
      <c r="B13">
        <v>4.78</v>
      </c>
      <c r="C13">
        <v>5.81</v>
      </c>
      <c r="D13">
        <v>18.940000000000001</v>
      </c>
      <c r="E13">
        <v>81865</v>
      </c>
      <c r="F13">
        <v>85.84</v>
      </c>
      <c r="G13">
        <v>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Xero -EmployeeUpload</vt:lpstr>
      <vt:lpstr>Employee Master</vt:lpstr>
      <vt:lpstr>Leave Tracker</vt:lpstr>
      <vt:lpstr>Remuneration</vt:lpstr>
      <vt:lpstr>Position Details</vt:lpstr>
      <vt:lpstr>Organisation Structure</vt:lpstr>
      <vt:lpstr>Performance</vt:lpstr>
      <vt:lpstr>Succession Planning</vt:lpstr>
      <vt:lpstr>Engagement &amp; Retention</vt:lpstr>
      <vt:lpstr>Risk &amp; Compliance</vt:lpstr>
      <vt:lpstr>Diversity &amp; Inclusion</vt:lpstr>
      <vt:lpstr>Recruitment</vt:lpstr>
      <vt:lpstr>Advanced Analytics</vt:lpstr>
      <vt:lpstr>External 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McGregor</cp:lastModifiedBy>
  <dcterms:created xsi:type="dcterms:W3CDTF">2025-11-12T14:19:53Z</dcterms:created>
  <dcterms:modified xsi:type="dcterms:W3CDTF">2025-11-24T09:12:01Z</dcterms:modified>
</cp:coreProperties>
</file>